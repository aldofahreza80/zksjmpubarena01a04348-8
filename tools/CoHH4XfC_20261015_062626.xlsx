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Gabungan" sheetId="2" state="visible" r:id="rId2"/>
    <sheet name="Vybe" sheetId="3" state="visible" r:id="rId3"/>
    <sheet name="SolanaTracker" sheetId="4" state="visible" r:id="rId4"/>
    <sheet name="GMGN" sheetId="5" state="visible" r:id="rId5"/>
    <sheet name="Log" sheetId="6" state="visible" r:id="rId6"/>
  </sheets>
  <definedNames>
    <definedName name="_xlnm._FilterDatabase" localSheetId="1" hidden="1">'Gabungan'!$A$1:$V$193</definedName>
    <definedName name="_xlnm._FilterDatabase" localSheetId="2" hidden="1">'Vybe'!$A$1:$E$101</definedName>
    <definedName name="_xlnm._FilterDatabase" localSheetId="3" hidden="1">'SolanaTracker'!$A$1:$T$101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name val="Arial"/>
      <b val="1"/>
      <sz val="10"/>
    </font>
    <font>
      <name val="Arial"/>
      <b val="1"/>
      <sz val="13"/>
    </font>
    <font>
      <name val="Arial"/>
      <sz val="10"/>
    </font>
    <font>
      <name val="Arial"/>
      <color rgb="FF0000FF"/>
      <sz val="10"/>
    </font>
    <font>
      <name val="Arial"/>
      <b val="1"/>
      <color rgb="FFFFFFFF"/>
      <sz val="10"/>
    </font>
  </fonts>
  <fills count="5">
    <fill>
      <patternFill/>
    </fill>
    <fill>
      <patternFill patternType="gray125"/>
    </fill>
    <fill>
      <patternFill patternType="solid">
        <fgColor rgb="FFD9D9D9"/>
        <bgColor rgb="FFD9D9D9"/>
      </patternFill>
    </fill>
    <fill>
      <patternFill patternType="solid">
        <fgColor rgb="FFFFFF00"/>
        <bgColor rgb="FFFFFF00"/>
      </patternFill>
    </fill>
    <fill>
      <patternFill patternType="solid">
        <fgColor rgb="FF404040"/>
        <bgColor rgb="FF404040"/>
      </patternFill>
    </fill>
  </fills>
  <borders count="1">
    <border>
      <left/>
      <right/>
      <top/>
      <bottom/>
      <diagonal/>
    </border>
  </borders>
  <cellStyleXfs count="1">
    <xf numFmtId="0" fontId="0" fillId="0" borderId="0"/>
  </cellStyleXfs>
  <cellXfs count="13">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4" fontId="4" fillId="3" borderId="0" pivotButton="0" quotePrefix="0" xfId="0"/>
    <xf numFmtId="164" fontId="4" fillId="3" borderId="0" pivotButton="0" quotePrefix="0" xfId="0"/>
    <xf numFmtId="0" fontId="5" fillId="4" borderId="0" pivotButton="0" quotePrefix="0" xfId="0"/>
    <xf numFmtId="165" fontId="3" fillId="0" borderId="0" pivotButton="0" quotePrefix="0" xfId="0"/>
    <xf numFmtId="4" fontId="3" fillId="0" borderId="0" pivotButton="0" quotePrefix="0" xfId="0"/>
    <xf numFmtId="164" fontId="3" fillId="0" borderId="0" pivotButton="0" quotePrefix="0" xfId="0"/>
    <xf numFmtId="2" fontId="3" fillId="0" borderId="0" pivotButton="0" quotePrefix="0" xfId="0"/>
    <xf numFmtId="0" fontId="1" fillId="0" borderId="0" pivotButton="0" quotePrefix="0" xfId="0"/>
    <xf numFmtId="0" fontId="3" fillId="0" borderId="0" applyAlignment="1" pivotButton="0" quotePrefix="0" xfId="0">
      <alignment vertical="top" wrapText="1"/>
    </xf>
  </cellXfs>
  <cellStyles count="1">
    <cellStyle name="Normal" xfId="0" builtinId="0" hidden="0"/>
  </cellStyles>
  <dxfs count="1">
    <dxf>
      <fill>
        <patternFill patternType="solid">
          <fgColor rgb="FFFFE0B2"/>
          <bgColor rgb="FFFFE0B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46" customWidth="1" min="1" max="1"/>
    <col width="24" customWidth="1" min="2" max="2"/>
    <col width="22" customWidth="1" min="3" max="3"/>
    <col width="22" customWidth="1" min="4" max="4"/>
    <col width="22" customWidth="1" min="5" max="5"/>
    <col width="22" customWidth="1" min="6" max="6"/>
    <col width="22" customWidth="1" min="7" max="7"/>
    <col width="22" customWidth="1" min="8" max="8"/>
    <col width="22" customWidth="1" min="9" max="9"/>
    <col width="60" customWidth="1" min="10" max="10"/>
  </cols>
  <sheetData>
    <row r="1">
      <c r="A1" s="1" t="inlineStr">
        <is>
          <t>Ringkasan run - audit lintas sumber</t>
        </is>
      </c>
    </row>
    <row r="2"/>
    <row r="3">
      <c r="A3" s="2" t="inlineStr">
        <is>
          <t>Mint</t>
        </is>
      </c>
      <c r="B3" s="2" t="inlineStr">
        <is>
          <t>CoHH4XfCpEcAuQga8iSr3hCta3vyFxYW6BtQRAV3xQMo</t>
        </is>
      </c>
    </row>
    <row r="4">
      <c r="A4" s="2" t="inlineStr">
        <is>
          <t>Waktu snapshot (UTC)</t>
        </is>
      </c>
      <c r="B4" s="2" t="inlineStr">
        <is>
          <t>2026-10-15 06:26:26</t>
        </is>
      </c>
    </row>
    <row r="5">
      <c r="A5" s="2" t="inlineStr">
        <is>
          <t>Sumber diminta</t>
        </is>
      </c>
      <c r="B5" s="2" t="inlineStr">
        <is>
          <t>Vybe, SolanaTracker, GMGN</t>
        </is>
      </c>
    </row>
    <row r="6">
      <c r="A6" s="2" t="inlineStr">
        <is>
          <t>Sumber berhasil</t>
        </is>
      </c>
      <c r="B6" s="2" t="inlineStr">
        <is>
          <t>2 dari 3 (Vybe, SolanaTracker)</t>
        </is>
      </c>
    </row>
    <row r="7">
      <c r="A7" s="2" t="inlineStr">
        <is>
          <t>Versi suite / Python</t>
        </is>
      </c>
      <c r="B7" s="2" t="inlineStr">
        <is>
          <t>1.0.0 / 3.14.6</t>
        </is>
      </c>
    </row>
    <row r="8"/>
    <row r="9">
      <c r="A9" s="3" t="inlineStr">
        <is>
          <t>Parameter (sel kuning boleh diubah; kolom flag_spread di sheet Gabungan dan hitungannya di sini ikut dihitung ulang)</t>
        </is>
      </c>
      <c r="B9" s="3" t="n"/>
      <c r="C9" s="3" t="n"/>
      <c r="D9" s="3" t="n"/>
      <c r="E9" s="3" t="n"/>
      <c r="F9" s="3" t="n"/>
      <c r="G9" s="3" t="n"/>
      <c r="H9" s="3" t="n"/>
      <c r="I9" s="3" t="n"/>
      <c r="J9" s="3" t="n"/>
    </row>
    <row r="10">
      <c r="A10" s="2" t="inlineStr">
        <is>
          <t>Ambang selisih realized (USD) &gt;=</t>
        </is>
      </c>
      <c r="B10" s="4" t="n">
        <v>10</v>
      </c>
    </row>
    <row r="11">
      <c r="A11" s="2" t="inlineStr">
        <is>
          <t>Ambang selisih relatif &gt;=</t>
        </is>
      </c>
      <c r="B11" s="5" t="n">
        <v>0.25</v>
      </c>
    </row>
    <row r="12">
      <c r="A12" s="2" t="inlineStr">
        <is>
          <t>Nilai awal berasal dari argumen --spread-usd dan --spread-pct. Selisih relatif = (tertinggi - terendah) / nilai absolut terbesar.</t>
        </is>
      </c>
    </row>
    <row r="13"/>
    <row r="14">
      <c r="A14" s="3" t="inlineStr">
        <is>
          <t>Status per sumber</t>
        </is>
      </c>
      <c r="B14" s="3" t="n"/>
      <c r="C14" s="3" t="n"/>
      <c r="D14" s="3" t="n"/>
      <c r="E14" s="3" t="n"/>
      <c r="F14" s="3" t="n"/>
      <c r="G14" s="3" t="n"/>
      <c r="H14" s="3" t="n"/>
      <c r="I14" s="3" t="n"/>
      <c r="J14" s="3" t="n"/>
    </row>
    <row r="15">
      <c r="A15" s="6" t="inlineStr">
        <is>
          <t>Sumber</t>
        </is>
      </c>
      <c r="B15" s="6" t="inlineStr">
        <is>
          <t>Status</t>
        </is>
      </c>
      <c r="C15" s="6" t="inlineStr">
        <is>
          <t>Baris</t>
        </is>
      </c>
      <c r="D15" s="6" t="inlineStr">
        <is>
          <t>Mulai (UTC)</t>
        </is>
      </c>
      <c r="E15" s="6" t="inlineStr">
        <is>
          <t>Selesai (UTC)</t>
        </is>
      </c>
      <c r="F15" s="6" t="inlineStr">
        <is>
          <t>Durasi (dtk)</t>
        </is>
      </c>
      <c r="G15" s="6" t="inlineStr">
        <is>
          <t>Aktivitas terbaru di daftar (UTC)</t>
        </is>
      </c>
      <c r="H15" s="6" t="inlineStr">
        <is>
          <t>Selisih ke waktu selesai (menit)</t>
        </is>
      </c>
      <c r="I15" s="6" t="inlineStr">
        <is>
          <t>Aktivitas tertua di daftar (UTC)</t>
        </is>
      </c>
      <c r="J15" s="6" t="inlineStr">
        <is>
          <t>Catatan</t>
        </is>
      </c>
    </row>
    <row r="16">
      <c r="A16" s="2" t="inlineStr">
        <is>
          <t>Vybe</t>
        </is>
      </c>
      <c r="B16" s="2" t="inlineStr">
        <is>
          <t>ok</t>
        </is>
      </c>
      <c r="C16" s="2" t="n">
        <v>100</v>
      </c>
      <c r="D16" s="2" t="inlineStr">
        <is>
          <t>2026-10-15 06:26:26</t>
        </is>
      </c>
      <c r="E16" s="2" t="inlineStr">
        <is>
          <t>2026-10-15 06:26:32</t>
        </is>
      </c>
      <c r="F16" s="7" t="n">
        <v>6</v>
      </c>
      <c r="G16" s="2" t="inlineStr">
        <is>
          <t>n/a (CSV tanpa kolom waktu)</t>
        </is>
      </c>
      <c r="H16" s="7" t="n"/>
      <c r="I16" s="2" t="n"/>
      <c r="J16" s="2" t="inlineStr"/>
    </row>
    <row r="17">
      <c r="A17" s="2" t="inlineStr">
        <is>
          <t>SolanaTracker</t>
        </is>
      </c>
      <c r="B17" s="2" t="inlineStr">
        <is>
          <t>ok</t>
        </is>
      </c>
      <c r="C17" s="2" t="n">
        <v>100</v>
      </c>
      <c r="D17" s="2" t="inlineStr">
        <is>
          <t>2026-10-15 06:26:26</t>
        </is>
      </c>
      <c r="E17" s="2" t="inlineStr">
        <is>
          <t>2026-10-15 06:26:32</t>
        </is>
      </c>
      <c r="F17" s="7" t="n">
        <v>6.1</v>
      </c>
      <c r="G17" s="2" t="inlineStr">
        <is>
          <t>2026-10-15 06:25:35</t>
        </is>
      </c>
      <c r="H17" s="7" t="n">
        <v>1</v>
      </c>
      <c r="I17" s="2" t="inlineStr">
        <is>
          <t>2026-10-15 04:58:28</t>
        </is>
      </c>
      <c r="J17" s="2" t="inlineStr"/>
    </row>
    <row r="18">
      <c r="A18" s="2" t="inlineStr">
        <is>
          <t>GMGN</t>
        </is>
      </c>
      <c r="B18" s="2" t="inlineStr">
        <is>
          <t>gagal</t>
        </is>
      </c>
      <c r="C18" s="2" t="n"/>
      <c r="D18" s="2" t="inlineStr">
        <is>
          <t>2026-10-15 06:26:26</t>
        </is>
      </c>
      <c r="E18" s="2" t="inlineStr">
        <is>
          <t>2026-10-15 06:26:29</t>
        </is>
      </c>
      <c r="F18" s="7" t="n">
        <v>3.4</v>
      </c>
      <c r="G18" s="2" t="n"/>
      <c r="H18" s="7" t="n"/>
      <c r="I18" s="2" t="n"/>
      <c r="J18"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row r="19">
      <c r="A19" s="2" t="inlineStr">
        <is>
          <t>'Aktivitas terbaru/tertua' hanya dari wallet yang ada di daftar (bukan seluruh token), jadi menunjukkan perkiraan kasar keterlambatan data.</t>
        </is>
      </c>
    </row>
    <row r="20">
      <c r="A20" s="2" t="inlineStr">
        <is>
          <t>Aktivitas tertua yang terlihat: 2026-10-15 04:58:28 UTC (sekitar 1.47 jam sebelum snapshot).</t>
        </is>
      </c>
    </row>
    <row r="21"/>
    <row r="22">
      <c r="A22" s="3" t="inlineStr">
        <is>
          <t>Cakupan wallet (rumus Excel atas sheet Gabungan)</t>
        </is>
      </c>
      <c r="B22" s="3" t="n"/>
      <c r="C22" s="3" t="n"/>
      <c r="D22" s="3" t="n"/>
      <c r="E22" s="3" t="n"/>
      <c r="F22" s="3" t="n"/>
      <c r="G22" s="3" t="n"/>
      <c r="H22" s="3" t="n"/>
      <c r="I22" s="3" t="n"/>
      <c r="J22" s="3" t="n"/>
    </row>
    <row r="23">
      <c r="A23" s="2" t="inlineStr">
        <is>
          <t>Wallet unik (gabungan)</t>
        </is>
      </c>
      <c r="B23" s="2">
        <f>COUNTA(Gabungan!$A$2:$A$193)</f>
        <v/>
      </c>
    </row>
    <row r="24">
      <c r="A24" s="2" t="inlineStr">
        <is>
          <t>Ada di semua 2 sumber</t>
        </is>
      </c>
      <c r="B24" s="2">
        <f>COUNTIF(Gabungan!$C$2:$C$193,2)</f>
        <v/>
      </c>
    </row>
    <row r="25">
      <c r="A25" s="2" t="inlineStr">
        <is>
          <t>Hanya di 1 sumber</t>
        </is>
      </c>
      <c r="B25" s="2">
        <f>COUNTIF(Gabungan!$C$2:$C$193,1)</f>
        <v/>
      </c>
    </row>
    <row r="26">
      <c r="A26" s="2" t="inlineStr">
        <is>
          <t xml:space="preserve">   hanya di Vybe</t>
        </is>
      </c>
      <c r="B26" s="2">
        <f>COUNTIF(Gabungan!$N$2:$N$193,"Vybe")</f>
        <v/>
      </c>
    </row>
    <row r="27">
      <c r="A27" s="2" t="inlineStr">
        <is>
          <t xml:space="preserve">   hanya di SolanaTracker</t>
        </is>
      </c>
      <c r="B27" s="2">
        <f>COUNTIF(Gabungan!$N$2:$N$193,"SolanaTracker")</f>
        <v/>
      </c>
    </row>
    <row r="28">
      <c r="A28" s="2" t="inlineStr">
        <is>
          <t>Ada di Vybe dan SolanaTracker</t>
        </is>
      </c>
      <c r="B28" s="2">
        <f>COUNTIFS(Gabungan!$E$2:$E$193,"&gt;0",Gabungan!$F$2:$F$193,"&gt;0")</f>
        <v/>
      </c>
    </row>
    <row r="29">
      <c r="A29" s="2" t="inlineStr">
        <is>
          <t>Wallet dengan selisih realized besar (flag_spread)</t>
        </is>
      </c>
      <c r="B29" s="2">
        <f>COUNTIF(Gabungan!$M$2:$M$193,"yes")</f>
        <v/>
      </c>
    </row>
    <row r="30">
      <c r="A30" s="2" t="inlineStr">
        <is>
          <t>Wallet dengan perbedaan peran (role_disagreement)</t>
        </is>
      </c>
      <c r="B30" s="2">
        <f>SUMPRODUCT(--(LEN(Gabungan!$O$2:$O$193)&gt;0))</f>
        <v/>
      </c>
    </row>
    <row r="31"/>
    <row r="32">
      <c r="A32" s="3" t="inlineStr">
        <is>
          <t>Kecocokan realized PnL untuk wallet yang sama (dihitung oleh skrip Python, bukan rumus Excel)</t>
        </is>
      </c>
      <c r="B32" s="3" t="n"/>
      <c r="C32" s="3" t="n"/>
      <c r="D32" s="3" t="n"/>
      <c r="E32" s="3" t="n"/>
      <c r="F32" s="3" t="n"/>
      <c r="G32" s="3" t="n"/>
      <c r="H32" s="3" t="n"/>
      <c r="I32" s="3" t="n"/>
      <c r="J32" s="3" t="n"/>
    </row>
    <row r="33">
      <c r="A33" s="6" t="inlineStr">
        <is>
          <t>Pasangan</t>
        </is>
      </c>
      <c r="B33" s="6" t="inlineStr">
        <is>
          <t>Wallet bersama</t>
        </is>
      </c>
      <c r="C33" s="6" t="inlineStr">
        <is>
          <t>Median selisih (USD)</t>
        </is>
      </c>
      <c r="D33" s="6" t="inlineStr">
        <is>
          <t>Median selisih relatif</t>
        </is>
      </c>
      <c r="E33" s="6" t="inlineStr">
        <is>
          <t>Korelasi peringkat (Spearman)</t>
        </is>
      </c>
      <c r="F33" s="6" t="inlineStr">
        <is>
          <t>Overlap top-10</t>
        </is>
      </c>
    </row>
    <row r="34">
      <c r="A34" s="2" t="inlineStr">
        <is>
          <t>Vybe vs SolanaTracker</t>
        </is>
      </c>
      <c r="B34" s="2" t="n">
        <v>8</v>
      </c>
      <c r="C34" s="8" t="n">
        <v>1.357226625127282</v>
      </c>
      <c r="D34" s="9" t="n">
        <v>0.001556114642994115</v>
      </c>
      <c r="E34" s="10" t="n">
        <v>0.9285714285714286</v>
      </c>
      <c r="F34" s="2" t="inlineStr">
        <is>
          <t>1/10</t>
        </is>
      </c>
    </row>
    <row r="35"/>
    <row r="36">
      <c r="A36" s="3" t="inlineStr">
        <is>
          <t>Catatan</t>
        </is>
      </c>
      <c r="B36" s="3" t="n"/>
      <c r="C36" s="3" t="n"/>
      <c r="D36" s="3" t="n"/>
      <c r="E36" s="3" t="n"/>
      <c r="F36" s="3" t="n"/>
      <c r="G36" s="3" t="n"/>
      <c r="H36" s="3" t="n"/>
      <c r="I36" s="3" t="n"/>
      <c r="J36" s="3" t="n"/>
    </row>
    <row r="37">
      <c r="A37" s="2" t="inlineStr">
        <is>
          <t>Yang dibandingkan hanya realized PnL. Unrealized bergantung pada harga yang dipakai tiap provider saat menghitung, jadi hanya indikatif dan tidak dinilai selisihnya.</t>
        </is>
      </c>
    </row>
    <row r="38">
      <c r="A38" s="2" t="inlineStr">
        <is>
          <t>Vybe mengembalikan 100 baris (batas 100). Wallet di luar daftar tidak terlihat, jadi 'hanya di satu sumber' bisa disebabkan daftar yang terpotong.</t>
        </is>
      </c>
    </row>
    <row r="39">
      <c r="A39" s="2" t="inlineStr">
        <is>
          <t>SolanaTracker mengembalikan 100 baris (batas 100). Wallet di luar daftar tidak terlihat, jadi 'hanya di satu sumber' bisa disebabkan daftar yang terpotong.</t>
        </is>
      </c>
    </row>
    <row r="40"/>
    <row r="41">
      <c r="A41" s="3" t="inlineStr">
        <is>
          <t>Kamus kolom sheet Gabungan</t>
        </is>
      </c>
      <c r="B41" s="3" t="n"/>
      <c r="C41" s="3" t="n"/>
      <c r="D41" s="3" t="n"/>
      <c r="E41" s="3" t="n"/>
      <c r="F41" s="3" t="n"/>
      <c r="G41" s="3" t="n"/>
      <c r="H41" s="3" t="n"/>
      <c r="I41" s="3" t="n"/>
      <c r="J41" s="3" t="n"/>
    </row>
    <row r="42">
      <c r="A42" s="2" t="inlineStr">
        <is>
          <t>rank_*: peringkat wallet di CSV provider itu (urutan realized PnL); kosong = wallet tidak ada di daftar provider itu.</t>
        </is>
      </c>
    </row>
    <row r="43">
      <c r="A43" s="2" t="inlineStr">
        <is>
          <t>realized_*: realized_pnl_usd apa adanya dari provider; tidak ada rata-rata dan tidak ada penyatuan definisi.</t>
        </is>
      </c>
    </row>
    <row r="44">
      <c r="A44" s="2" t="inlineStr">
        <is>
          <t>n_sources, spread_usd, spread_pct, flag_spread: rumus Excel. spread = realized tertinggi dikurangi terendah di antara provider yang memuat wallet.</t>
        </is>
      </c>
    </row>
    <row r="45">
      <c r="A45" s="2" t="inlineStr">
        <is>
          <t>only_in: provider yang satu-satunya memuat wallet (hanya diisi bila &gt;= 2 provider berhasil). Waspada: bisa karena daftar terpotong.</t>
        </is>
      </c>
    </row>
    <row r="46">
      <c r="A46" s="2" t="inlineStr">
        <is>
          <t>role_disagreement: peran (dev, kol, smart_money, sniper, bundler, bot, arbitrage, pool_or_exchange) yang hanya dimiliki sebagian provider. Pemetaan label sederhana di suite/labels.py; hanya provider yang memberi label pada setidaknya satu wallet di run ini yang dibandingkan.</t>
        </is>
      </c>
    </row>
    <row r="47">
      <c r="A47" s="2" t="inlineStr">
        <is>
          <t>sheet_row_*: nomor baris wallet di sheet mentah provider itu, untuk menelusuri angka ke sumbernya.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9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22" customWidth="1" min="2" max="2"/>
    <col width="19" customWidth="1" min="3" max="3"/>
    <col width="26" customWidth="1" min="4" max="4"/>
    <col width="11" customWidth="1" min="5" max="5"/>
    <col width="20" customWidth="1" min="6" max="6"/>
    <col width="11" customWidth="1" min="7" max="7"/>
    <col width="22" customWidth="1" min="8" max="8"/>
    <col width="24" customWidth="1" min="9" max="9"/>
    <col width="15" customWidth="1" min="10" max="10"/>
    <col width="48" customWidth="1" min="11" max="11"/>
    <col width="48" customWidth="1" min="12" max="12"/>
    <col width="48" customWidth="1" min="13" max="13"/>
    <col width="15" customWidth="1" min="14" max="14"/>
    <col width="38" customWidth="1" min="15" max="15"/>
    <col width="13" customWidth="1" min="16" max="16"/>
    <col width="47" customWidth="1" min="17" max="17"/>
    <col width="13" customWidth="1" min="18" max="18"/>
    <col width="46" customWidth="1" min="19" max="19"/>
    <col width="16" customWidth="1" min="20" max="20"/>
    <col width="25" customWidth="1" min="21" max="21"/>
    <col width="16" customWidth="1" min="22" max="22"/>
  </cols>
  <sheetData>
    <row r="1">
      <c r="A1" s="6" t="inlineStr">
        <is>
          <t>wallet</t>
        </is>
      </c>
      <c r="B1" s="6" t="inlineStr">
        <is>
          <t>name</t>
        </is>
      </c>
      <c r="C1" s="6" t="inlineStr">
        <is>
          <t>n_sources</t>
        </is>
      </c>
      <c r="D1" s="6" t="inlineStr">
        <is>
          <t>sources</t>
        </is>
      </c>
      <c r="E1" s="6" t="inlineStr">
        <is>
          <t>rank_vybe</t>
        </is>
      </c>
      <c r="F1" s="6" t="inlineStr">
        <is>
          <t>rank_solanatracker</t>
        </is>
      </c>
      <c r="G1" s="6" t="inlineStr">
        <is>
          <t>rank_gmgn</t>
        </is>
      </c>
      <c r="H1" s="6" t="inlineStr">
        <is>
          <t>realized_vybe</t>
        </is>
      </c>
      <c r="I1" s="6" t="inlineStr">
        <is>
          <t>realized_solanatracker</t>
        </is>
      </c>
      <c r="J1" s="6" t="inlineStr">
        <is>
          <t>realized_gmgn</t>
        </is>
      </c>
      <c r="K1" s="6" t="inlineStr">
        <is>
          <t>spread_usd</t>
        </is>
      </c>
      <c r="L1" s="6" t="inlineStr">
        <is>
          <t>spread_pct</t>
        </is>
      </c>
      <c r="M1" s="6" t="inlineStr">
        <is>
          <t>flag_spread</t>
        </is>
      </c>
      <c r="N1" s="6" t="inlineStr">
        <is>
          <t>only_in</t>
        </is>
      </c>
      <c r="O1" s="6" t="inlineStr">
        <is>
          <t>role_disagreement</t>
        </is>
      </c>
      <c r="P1" s="6" t="inlineStr">
        <is>
          <t>labels_vybe</t>
        </is>
      </c>
      <c r="Q1" s="6" t="inlineStr">
        <is>
          <t>labels_solanatracker</t>
        </is>
      </c>
      <c r="R1" s="6" t="inlineStr">
        <is>
          <t>labels_gmgn</t>
        </is>
      </c>
      <c r="S1" s="6" t="inlineStr">
        <is>
          <t>funded_by_gmgn</t>
        </is>
      </c>
      <c r="T1" s="6" t="inlineStr">
        <is>
          <t>sheet_row_vybe</t>
        </is>
      </c>
      <c r="U1" s="6" t="inlineStr">
        <is>
          <t>sheet_row_solanatracker</t>
        </is>
      </c>
      <c r="V1" s="6" t="inlineStr">
        <is>
          <t>sheet_row_gmgn</t>
        </is>
      </c>
    </row>
    <row r="2">
      <c r="A2" s="2" t="inlineStr">
        <is>
          <t>8rvAsDKeAcEjEkiZMug9k8v1y8mW6gQQiMobd89Uy7qR</t>
        </is>
      </c>
      <c r="B2" s="2" t="inlineStr">
        <is>
          <t>Casino</t>
        </is>
      </c>
      <c r="C2" s="2">
        <f>COUNT(E2:G2)</f>
        <v/>
      </c>
      <c r="D2" s="2" t="inlineStr">
        <is>
          <t>Vybe, SolanaTracker</t>
        </is>
      </c>
      <c r="E2" s="2" t="n">
        <v>1</v>
      </c>
      <c r="F2" s="2" t="n">
        <v>4</v>
      </c>
      <c r="G2" s="2" t="n"/>
      <c r="H2" s="8" t="n">
        <v>2714.118497576989</v>
      </c>
      <c r="I2" s="8" t="n">
        <v>2687.3</v>
      </c>
      <c r="J2" s="8" t="n"/>
      <c r="K2" s="8">
        <f>IF(COUNT(H2:J2)&gt;=2,MAX(H2:J2)-MIN(H2:J2),"")</f>
        <v/>
      </c>
      <c r="L2" s="9">
        <f>IF(ISNUMBER(K2),IF(MAX(ABS(MAX(H2:J2)),ABS(MIN(H2:J2)))=0,"",K2/MAX(ABS(MAX(H2:J2)),ABS(MIN(H2:J2)))),"")</f>
        <v/>
      </c>
      <c r="M2" s="2">
        <f>IF(AND(ISNUMBER(K2),ISNUMBER(L2)),IF(AND(K2&gt;=Ringkasan!$B$10,L2&gt;=Ringkasan!$B$11),"yes",""),"")</f>
        <v/>
      </c>
      <c r="N2" s="2" t="n"/>
      <c r="O2" s="2" t="n"/>
      <c r="P2" s="2" t="inlineStr">
        <is>
          <t>KOL</t>
        </is>
      </c>
      <c r="Q2" s="2" t="inlineStr">
        <is>
          <t>kol; terminal; axiom; pumpfun-app; bloom; sns</t>
        </is>
      </c>
      <c r="S2" s="2" t="n"/>
      <c r="T2" s="2" t="n">
        <v>2</v>
      </c>
      <c r="U2" s="2" t="n">
        <v>5</v>
      </c>
    </row>
    <row r="3">
      <c r="A3" s="2" t="inlineStr">
        <is>
          <t>AVjEtg2ECYKXYeqdRQXvaaAZBjfTjYuSMTR4WLhKoeQN</t>
        </is>
      </c>
      <c r="B3" s="2" t="inlineStr">
        <is>
          <t>Putrick</t>
        </is>
      </c>
      <c r="C3" s="2">
        <f>COUNT(E3:G3)</f>
        <v/>
      </c>
      <c r="D3" s="2" t="inlineStr">
        <is>
          <t>Vybe, SolanaTracker</t>
        </is>
      </c>
      <c r="E3" s="2" t="n">
        <v>3</v>
      </c>
      <c r="F3" s="2" t="n">
        <v>28</v>
      </c>
      <c r="G3" s="2" t="n"/>
      <c r="H3" s="8" t="n">
        <v>974.7922812731276</v>
      </c>
      <c r="I3" s="8" t="n">
        <v>970.55</v>
      </c>
      <c r="J3" s="8" t="n"/>
      <c r="K3" s="8">
        <f>IF(COUNT(H3:J3)&gt;=2,MAX(H3:J3)-MIN(H3:J3),"")</f>
        <v/>
      </c>
      <c r="L3" s="9">
        <f>IF(ISNUMBER(K3),IF(MAX(ABS(MAX(H3:J3)),ABS(MIN(H3:J3)))=0,"",K3/MAX(ABS(MAX(H3:J3)),ABS(MIN(H3:J3)))),"")</f>
        <v/>
      </c>
      <c r="M3" s="2">
        <f>IF(AND(ISNUMBER(K3),ISNUMBER(L3)),IF(AND(K3&gt;=Ringkasan!$B$10,L3&gt;=Ringkasan!$B$11),"yes",""),"")</f>
        <v/>
      </c>
      <c r="N3" s="2" t="n"/>
      <c r="O3" s="2" t="n"/>
      <c r="P3" s="2" t="inlineStr">
        <is>
          <t>KOL</t>
        </is>
      </c>
      <c r="Q3" s="2" t="inlineStr">
        <is>
          <t>kol; axiom</t>
        </is>
      </c>
      <c r="S3" s="2" t="n"/>
      <c r="T3" s="2" t="n">
        <v>4</v>
      </c>
      <c r="U3" s="2" t="n">
        <v>29</v>
      </c>
    </row>
    <row r="4">
      <c r="A4" s="2" t="inlineStr">
        <is>
          <t>HYSq1KBAvqWpEv1pCbV31muKM1za5A1WSHGdiVLUoNhb</t>
        </is>
      </c>
      <c r="B4" s="2" t="inlineStr">
        <is>
          <t>Apex 屮</t>
        </is>
      </c>
      <c r="C4" s="2">
        <f>COUNT(E4:G4)</f>
        <v/>
      </c>
      <c r="D4" s="2" t="inlineStr">
        <is>
          <t>Vybe, SolanaTracker</t>
        </is>
      </c>
      <c r="E4" s="2" t="n">
        <v>4</v>
      </c>
      <c r="F4" s="2" t="n">
        <v>29</v>
      </c>
      <c r="G4" s="2" t="n"/>
      <c r="H4" s="8" t="n">
        <v>924.8145774490808</v>
      </c>
      <c r="I4" s="8" t="n">
        <v>923.91</v>
      </c>
      <c r="J4" s="8" t="n"/>
      <c r="K4" s="8">
        <f>IF(COUNT(H4:J4)&gt;=2,MAX(H4:J4)-MIN(H4:J4),"")</f>
        <v/>
      </c>
      <c r="L4" s="9">
        <f>IF(ISNUMBER(K4),IF(MAX(ABS(MAX(H4:J4)),ABS(MIN(H4:J4)))=0,"",K4/MAX(ABS(MAX(H4:J4)),ABS(MIN(H4:J4)))),"")</f>
        <v/>
      </c>
      <c r="M4" s="2">
        <f>IF(AND(ISNUMBER(K4),ISNUMBER(L4)),IF(AND(K4&gt;=Ringkasan!$B$10,L4&gt;=Ringkasan!$B$11),"yes",""),"")</f>
        <v/>
      </c>
      <c r="N4" s="2" t="n"/>
      <c r="O4" s="2" t="inlineStr">
        <is>
          <t>kol (hanya Vybe)</t>
        </is>
      </c>
      <c r="P4" s="2" t="inlineStr">
        <is>
          <t>KOL</t>
        </is>
      </c>
      <c r="Q4" s="2" t="inlineStr">
        <is>
          <t>terminal; axiom; pumpfun-app</t>
        </is>
      </c>
      <c r="S4" s="2" t="n"/>
      <c r="T4" s="2" t="n">
        <v>5</v>
      </c>
      <c r="U4" s="2" t="n">
        <v>30</v>
      </c>
    </row>
    <row r="5">
      <c r="A5" s="2" t="inlineStr">
        <is>
          <t>39q2g5tTQn9n7KnuapzwS2smSx3NGYqBoea11tBjsGEt</t>
        </is>
      </c>
      <c r="B5" s="2" t="inlineStr">
        <is>
          <t>Walta</t>
        </is>
      </c>
      <c r="C5" s="2">
        <f>COUNT(E5:G5)</f>
        <v/>
      </c>
      <c r="D5" s="2" t="inlineStr">
        <is>
          <t>Vybe, SolanaTracker</t>
        </is>
      </c>
      <c r="E5" s="2" t="n">
        <v>5</v>
      </c>
      <c r="F5" s="2" t="n">
        <v>36</v>
      </c>
      <c r="G5" s="2" t="n"/>
      <c r="H5" s="8" t="n">
        <v>848.0698758011737</v>
      </c>
      <c r="I5" s="8" t="n">
        <v>846.26</v>
      </c>
      <c r="J5" s="8" t="n"/>
      <c r="K5" s="8">
        <f>IF(COUNT(H5:J5)&gt;=2,MAX(H5:J5)-MIN(H5:J5),"")</f>
        <v/>
      </c>
      <c r="L5" s="9">
        <f>IF(ISNUMBER(K5),IF(MAX(ABS(MAX(H5:J5)),ABS(MIN(H5:J5)))=0,"",K5/MAX(ABS(MAX(H5:J5)),ABS(MIN(H5:J5)))),"")</f>
        <v/>
      </c>
      <c r="M5" s="2">
        <f>IF(AND(ISNUMBER(K5),ISNUMBER(L5)),IF(AND(K5&gt;=Ringkasan!$B$10,L5&gt;=Ringkasan!$B$11),"yes",""),"")</f>
        <v/>
      </c>
      <c r="N5" s="2" t="n"/>
      <c r="O5" s="2" t="n"/>
      <c r="P5" s="2" t="inlineStr">
        <is>
          <t>KOL</t>
        </is>
      </c>
      <c r="Q5" s="2" t="inlineStr">
        <is>
          <t>kol; gmgn; photon</t>
        </is>
      </c>
      <c r="S5" s="2" t="n"/>
      <c r="T5" s="2" t="n">
        <v>6</v>
      </c>
      <c r="U5" s="2" t="n">
        <v>37</v>
      </c>
    </row>
    <row r="6">
      <c r="A6" s="2" t="inlineStr">
        <is>
          <t>3L8RAxLkvwkz4CgHivaVRtq19741FAdGLk5DgjRfc1fW</t>
        </is>
      </c>
      <c r="B6" s="2" t="inlineStr">
        <is>
          <t>Inquixit</t>
        </is>
      </c>
      <c r="C6" s="2">
        <f>COUNT(E6:G6)</f>
        <v/>
      </c>
      <c r="D6" s="2" t="inlineStr">
        <is>
          <t>Vybe, SolanaTracker</t>
        </is>
      </c>
      <c r="E6" s="2" t="n">
        <v>6</v>
      </c>
      <c r="F6" s="2" t="n">
        <v>40</v>
      </c>
      <c r="G6" s="2" t="n"/>
      <c r="H6" s="8" t="n">
        <v>780.7220159873192</v>
      </c>
      <c r="I6" s="8" t="n">
        <v>780.84</v>
      </c>
      <c r="J6" s="8" t="n"/>
      <c r="K6" s="8">
        <f>IF(COUNT(H6:J6)&gt;=2,MAX(H6:J6)-MIN(H6:J6),"")</f>
        <v/>
      </c>
      <c r="L6" s="9">
        <f>IF(ISNUMBER(K6),IF(MAX(ABS(MAX(H6:J6)),ABS(MIN(H6:J6)))=0,"",K6/MAX(ABS(MAX(H6:J6)),ABS(MIN(H6:J6)))),"")</f>
        <v/>
      </c>
      <c r="M6" s="2">
        <f>IF(AND(ISNUMBER(K6),ISNUMBER(L6)),IF(AND(K6&gt;=Ringkasan!$B$10,L6&gt;=Ringkasan!$B$11),"yes",""),"")</f>
        <v/>
      </c>
      <c r="N6" s="2" t="n"/>
      <c r="O6" s="2" t="n"/>
      <c r="P6" s="2" t="inlineStr">
        <is>
          <t>KOL</t>
        </is>
      </c>
      <c r="Q6" s="2" t="inlineStr">
        <is>
          <t>kol; terminal; axiom; bloom; sns</t>
        </is>
      </c>
      <c r="S6" s="2" t="n"/>
      <c r="T6" s="2" t="n">
        <v>7</v>
      </c>
      <c r="U6" s="2" t="n">
        <v>41</v>
      </c>
    </row>
    <row r="7">
      <c r="A7" s="2" t="inlineStr">
        <is>
          <t>gangJEP5geDHjPVRhDS5dTF5e6GtRvtNogMEEVs91RV</t>
        </is>
      </c>
      <c r="B7" s="2" t="inlineStr">
        <is>
          <t>Qavec</t>
        </is>
      </c>
      <c r="C7" s="2">
        <f>COUNT(E7:G7)</f>
        <v/>
      </c>
      <c r="D7" s="2" t="inlineStr">
        <is>
          <t>Vybe, SolanaTracker</t>
        </is>
      </c>
      <c r="E7" s="2" t="n">
        <v>15</v>
      </c>
      <c r="F7" s="2" t="n">
        <v>41</v>
      </c>
      <c r="G7" s="2" t="n"/>
      <c r="H7" s="8" t="n">
        <v>137.3386567642306</v>
      </c>
      <c r="I7" s="8" t="n">
        <v>770.6799999999999</v>
      </c>
      <c r="J7" s="8" t="n"/>
      <c r="K7" s="8">
        <f>IF(COUNT(H7:J7)&gt;=2,MAX(H7:J7)-MIN(H7:J7),"")</f>
        <v/>
      </c>
      <c r="L7" s="9">
        <f>IF(ISNUMBER(K7),IF(MAX(ABS(MAX(H7:J7)),ABS(MIN(H7:J7)))=0,"",K7/MAX(ABS(MAX(H7:J7)),ABS(MIN(H7:J7)))),"")</f>
        <v/>
      </c>
      <c r="M7" s="2">
        <f>IF(AND(ISNUMBER(K7),ISNUMBER(L7)),IF(AND(K7&gt;=Ringkasan!$B$10,L7&gt;=Ringkasan!$B$11),"yes",""),"")</f>
        <v/>
      </c>
      <c r="N7" s="2" t="n"/>
      <c r="O7" s="2" t="n"/>
      <c r="P7" s="2" t="inlineStr">
        <is>
          <t>KOL</t>
        </is>
      </c>
      <c r="Q7" s="2" t="inlineStr">
        <is>
          <t>kol; terminal; axiom; pumpfun-app</t>
        </is>
      </c>
      <c r="S7" s="2" t="n"/>
      <c r="T7" s="2" t="n">
        <v>16</v>
      </c>
      <c r="U7" s="2" t="n">
        <v>42</v>
      </c>
    </row>
    <row r="8">
      <c r="A8" s="2" t="inlineStr">
        <is>
          <t>9tY7u1HgEt2RDcxym3RJ9sfvT3aZStiiUwXd44X9RUr8</t>
        </is>
      </c>
      <c r="B8" s="2" t="inlineStr">
        <is>
          <t>Solana degen</t>
        </is>
      </c>
      <c r="C8" s="2">
        <f>COUNT(E8:G8)</f>
        <v/>
      </c>
      <c r="D8" s="2" t="inlineStr">
        <is>
          <t>Vybe, SolanaTracker</t>
        </is>
      </c>
      <c r="E8" s="2" t="n">
        <v>7</v>
      </c>
      <c r="F8" s="2" t="n">
        <v>48</v>
      </c>
      <c r="G8" s="2" t="n"/>
      <c r="H8" s="8" t="n">
        <v>684.2061078749964</v>
      </c>
      <c r="I8" s="8" t="n">
        <v>684.11</v>
      </c>
      <c r="J8" s="8" t="n"/>
      <c r="K8" s="8">
        <f>IF(COUNT(H8:J8)&gt;=2,MAX(H8:J8)-MIN(H8:J8),"")</f>
        <v/>
      </c>
      <c r="L8" s="9">
        <f>IF(ISNUMBER(K8),IF(MAX(ABS(MAX(H8:J8)),ABS(MIN(H8:J8)))=0,"",K8/MAX(ABS(MAX(H8:J8)),ABS(MIN(H8:J8)))),"")</f>
        <v/>
      </c>
      <c r="M8" s="2">
        <f>IF(AND(ISNUMBER(K8),ISNUMBER(L8)),IF(AND(K8&gt;=Ringkasan!$B$10,L8&gt;=Ringkasan!$B$11),"yes",""),"")</f>
        <v/>
      </c>
      <c r="N8" s="2" t="n"/>
      <c r="O8" s="2" t="n"/>
      <c r="P8" s="2" t="inlineStr">
        <is>
          <t>KOL</t>
        </is>
      </c>
      <c r="Q8" s="2" t="inlineStr">
        <is>
          <t>kol; axiom</t>
        </is>
      </c>
      <c r="S8" s="2" t="n"/>
      <c r="T8" s="2" t="n">
        <v>8</v>
      </c>
      <c r="U8" s="2" t="n">
        <v>49</v>
      </c>
    </row>
    <row r="9">
      <c r="A9" s="2" t="inlineStr">
        <is>
          <t>BTf4A2exGK9BCVDNzy65b9dUzXgMqB4weVkvTMFQsadd</t>
        </is>
      </c>
      <c r="B9" s="2" t="inlineStr">
        <is>
          <t>Kev</t>
        </is>
      </c>
      <c r="C9" s="2">
        <f>COUNT(E9:G9)</f>
        <v/>
      </c>
      <c r="D9" s="2" t="inlineStr">
        <is>
          <t>Vybe, SolanaTracker</t>
        </is>
      </c>
      <c r="E9" s="2" t="n">
        <v>8</v>
      </c>
      <c r="F9" s="2" t="n">
        <v>75</v>
      </c>
      <c r="G9" s="2" t="n"/>
      <c r="H9" s="8" t="n">
        <v>491.604206015157</v>
      </c>
      <c r="I9" s="8" t="n">
        <v>491.28</v>
      </c>
      <c r="J9" s="8" t="n"/>
      <c r="K9" s="8">
        <f>IF(COUNT(H9:J9)&gt;=2,MAX(H9:J9)-MIN(H9:J9),"")</f>
        <v/>
      </c>
      <c r="L9" s="9">
        <f>IF(ISNUMBER(K9),IF(MAX(ABS(MAX(H9:J9)),ABS(MIN(H9:J9)))=0,"",K9/MAX(ABS(MAX(H9:J9)),ABS(MIN(H9:J9)))),"")</f>
        <v/>
      </c>
      <c r="M9" s="2">
        <f>IF(AND(ISNUMBER(K9),ISNUMBER(L9)),IF(AND(K9&gt;=Ringkasan!$B$10,L9&gt;=Ringkasan!$B$11),"yes",""),"")</f>
        <v/>
      </c>
      <c r="N9" s="2" t="n"/>
      <c r="O9" s="2" t="n"/>
      <c r="P9" s="2" t="inlineStr">
        <is>
          <t>KOL</t>
        </is>
      </c>
      <c r="Q9" s="2" t="inlineStr">
        <is>
          <t>kol; gmgn; terminal; axiom; photon</t>
        </is>
      </c>
      <c r="S9" s="2" t="n"/>
      <c r="T9" s="2" t="n">
        <v>9</v>
      </c>
      <c r="U9" s="2" t="n">
        <v>76</v>
      </c>
    </row>
    <row r="10">
      <c r="A10" s="2" t="inlineStr">
        <is>
          <t>9LxMdvs1m8QRFvFuhvzzMXykAkpaHTJhktULdpBztUMm</t>
        </is>
      </c>
      <c r="B10" s="2" t="n"/>
      <c r="C10" s="2">
        <f>COUNT(E10:G10)</f>
        <v/>
      </c>
      <c r="D10" s="2" t="inlineStr">
        <is>
          <t>SolanaTracker</t>
        </is>
      </c>
      <c r="E10" s="2" t="n"/>
      <c r="F10" s="2" t="n">
        <v>1</v>
      </c>
      <c r="G10" s="2" t="n"/>
      <c r="H10" s="8" t="n"/>
      <c r="I10" s="8" t="n">
        <v>5860.66</v>
      </c>
      <c r="J10" s="8" t="n"/>
      <c r="K10" s="8">
        <f>IF(COUNT(H10:J10)&gt;=2,MAX(H10:J10)-MIN(H10:J10),"")</f>
        <v/>
      </c>
      <c r="L10" s="9">
        <f>IF(ISNUMBER(K10),IF(MAX(ABS(MAX(H10:J10)),ABS(MIN(H10:J10)))=0,"",K10/MAX(ABS(MAX(H10:J10)),ABS(MIN(H10:J10)))),"")</f>
        <v/>
      </c>
      <c r="M10" s="2">
        <f>IF(AND(ISNUMBER(K10),ISNUMBER(L10)),IF(AND(K10&gt;=Ringkasan!$B$10,L10&gt;=Ringkasan!$B$11),"yes",""),"")</f>
        <v/>
      </c>
      <c r="N10" s="2" t="inlineStr">
        <is>
          <t>SolanaTracker</t>
        </is>
      </c>
      <c r="O10" s="2" t="n"/>
      <c r="Q10" s="2" t="inlineStr">
        <is>
          <t>axiom; bloom</t>
        </is>
      </c>
      <c r="S10" s="2" t="n"/>
      <c r="U10" s="2" t="n">
        <v>2</v>
      </c>
    </row>
    <row r="11">
      <c r="A11" s="2" t="inlineStr">
        <is>
          <t>FASTESTv3ZKg9hbwQHf64pBfRxaD3NyP3exgCFhKeyX5</t>
        </is>
      </c>
      <c r="B11" s="2" t="n"/>
      <c r="C11" s="2">
        <f>COUNT(E11:G11)</f>
        <v/>
      </c>
      <c r="D11" s="2" t="inlineStr">
        <is>
          <t>SolanaTracker</t>
        </is>
      </c>
      <c r="E11" s="2" t="n"/>
      <c r="F11" s="2" t="n">
        <v>2</v>
      </c>
      <c r="G11" s="2" t="n"/>
      <c r="H11" s="8" t="n"/>
      <c r="I11" s="8" t="n">
        <v>3554.51</v>
      </c>
      <c r="J11" s="8" t="n"/>
      <c r="K11" s="8">
        <f>IF(COUNT(H11:J11)&gt;=2,MAX(H11:J11)-MIN(H11:J11),"")</f>
        <v/>
      </c>
      <c r="L11" s="9">
        <f>IF(ISNUMBER(K11),IF(MAX(ABS(MAX(H11:J11)),ABS(MIN(H11:J11)))=0,"",K11/MAX(ABS(MAX(H11:J11)),ABS(MIN(H11:J11)))),"")</f>
        <v/>
      </c>
      <c r="M11" s="2">
        <f>IF(AND(ISNUMBER(K11),ISNUMBER(L11)),IF(AND(K11&gt;=Ringkasan!$B$10,L11&gt;=Ringkasan!$B$11),"yes",""),"")</f>
        <v/>
      </c>
      <c r="N11" s="2" t="inlineStr">
        <is>
          <t>SolanaTracker</t>
        </is>
      </c>
      <c r="O11" s="2" t="n"/>
      <c r="Q11" s="2" t="inlineStr">
        <is>
          <t>axiom</t>
        </is>
      </c>
      <c r="S11" s="2" t="n"/>
      <c r="U11" s="2" t="n">
        <v>3</v>
      </c>
    </row>
    <row r="12">
      <c r="A12" s="2" t="inlineStr">
        <is>
          <t>AH75Bn6QHSt5K2Ad4p1otns3JTwpSJWZTwiwKWNhmnKx</t>
        </is>
      </c>
      <c r="B12" s="2" t="inlineStr">
        <is>
          <t>bystevenr</t>
        </is>
      </c>
      <c r="C12" s="2">
        <f>COUNT(E12:G12)</f>
        <v/>
      </c>
      <c r="D12" s="2" t="inlineStr">
        <is>
          <t>SolanaTracker</t>
        </is>
      </c>
      <c r="E12" s="2" t="n"/>
      <c r="F12" s="2" t="n">
        <v>3</v>
      </c>
      <c r="G12" s="2" t="n"/>
      <c r="H12" s="8" t="n"/>
      <c r="I12" s="8" t="n">
        <v>3183.42</v>
      </c>
      <c r="J12" s="8" t="n"/>
      <c r="K12" s="8">
        <f>IF(COUNT(H12:J12)&gt;=2,MAX(H12:J12)-MIN(H12:J12),"")</f>
        <v/>
      </c>
      <c r="L12" s="9">
        <f>IF(ISNUMBER(K12),IF(MAX(ABS(MAX(H12:J12)),ABS(MIN(H12:J12)))=0,"",K12/MAX(ABS(MAX(H12:J12)),ABS(MIN(H12:J12)))),"")</f>
        <v/>
      </c>
      <c r="M12" s="2">
        <f>IF(AND(ISNUMBER(K12),ISNUMBER(L12)),IF(AND(K12&gt;=Ringkasan!$B$10,L12&gt;=Ringkasan!$B$11),"yes",""),"")</f>
        <v/>
      </c>
      <c r="N12" s="2" t="inlineStr">
        <is>
          <t>SolanaTracker</t>
        </is>
      </c>
      <c r="O12" s="2" t="n"/>
      <c r="Q12" s="2" t="inlineStr">
        <is>
          <t>fomo</t>
        </is>
      </c>
      <c r="S12" s="2" t="n"/>
      <c r="U12" s="2" t="n">
        <v>4</v>
      </c>
    </row>
    <row r="13">
      <c r="A13" s="2" t="inlineStr">
        <is>
          <t>6END8c4Xk81hHnwGT331W9bszBiEPBHkm4hWnZLNDfmp</t>
        </is>
      </c>
      <c r="B13" s="2" t="n"/>
      <c r="C13" s="2">
        <f>COUNT(E13:G13)</f>
        <v/>
      </c>
      <c r="D13" s="2" t="inlineStr">
        <is>
          <t>SolanaTracker</t>
        </is>
      </c>
      <c r="E13" s="2" t="n"/>
      <c r="F13" s="2" t="n">
        <v>5</v>
      </c>
      <c r="G13" s="2" t="n"/>
      <c r="H13" s="8" t="n"/>
      <c r="I13" s="8" t="n">
        <v>2330.42</v>
      </c>
      <c r="J13" s="8" t="n"/>
      <c r="K13" s="8">
        <f>IF(COUNT(H13:J13)&gt;=2,MAX(H13:J13)-MIN(H13:J13),"")</f>
        <v/>
      </c>
      <c r="L13" s="9">
        <f>IF(ISNUMBER(K13),IF(MAX(ABS(MAX(H13:J13)),ABS(MIN(H13:J13)))=0,"",K13/MAX(ABS(MAX(H13:J13)),ABS(MIN(H13:J13)))),"")</f>
        <v/>
      </c>
      <c r="M13" s="2">
        <f>IF(AND(ISNUMBER(K13),ISNUMBER(L13)),IF(AND(K13&gt;=Ringkasan!$B$10,L13&gt;=Ringkasan!$B$11),"yes",""),"")</f>
        <v/>
      </c>
      <c r="N13" s="2" t="inlineStr">
        <is>
          <t>SolanaTracker</t>
        </is>
      </c>
      <c r="O13" s="2" t="n"/>
      <c r="Q13" s="2" t="inlineStr">
        <is>
          <t>axiom</t>
        </is>
      </c>
      <c r="S13" s="2" t="n"/>
      <c r="U13" s="2" t="n">
        <v>6</v>
      </c>
    </row>
    <row r="14">
      <c r="A14" s="2" t="inlineStr">
        <is>
          <t>CLeLSah38ADw1gFR1ARb3F1zJYUrUsaTpNXQPgqqxDDd</t>
        </is>
      </c>
      <c r="B14" s="2" t="n"/>
      <c r="C14" s="2">
        <f>COUNT(E14:G14)</f>
        <v/>
      </c>
      <c r="D14" s="2" t="inlineStr">
        <is>
          <t>SolanaTracker</t>
        </is>
      </c>
      <c r="E14" s="2" t="n"/>
      <c r="F14" s="2" t="n">
        <v>6</v>
      </c>
      <c r="G14" s="2" t="n"/>
      <c r="H14" s="8" t="n"/>
      <c r="I14" s="8" t="n">
        <v>2175.21</v>
      </c>
      <c r="J14" s="8" t="n"/>
      <c r="K14" s="8">
        <f>IF(COUNT(H14:J14)&gt;=2,MAX(H14:J14)-MIN(H14:J14),"")</f>
        <v/>
      </c>
      <c r="L14" s="9">
        <f>IF(ISNUMBER(K14),IF(MAX(ABS(MAX(H14:J14)),ABS(MIN(H14:J14)))=0,"",K14/MAX(ABS(MAX(H14:J14)),ABS(MIN(H14:J14)))),"")</f>
        <v/>
      </c>
      <c r="M14" s="2">
        <f>IF(AND(ISNUMBER(K14),ISNUMBER(L14)),IF(AND(K14&gt;=Ringkasan!$B$10,L14&gt;=Ringkasan!$B$11),"yes",""),"")</f>
        <v/>
      </c>
      <c r="N14" s="2" t="inlineStr">
        <is>
          <t>SolanaTracker</t>
        </is>
      </c>
      <c r="O14" s="2" t="n"/>
      <c r="Q14" s="2" t="inlineStr">
        <is>
          <t>fomo</t>
        </is>
      </c>
      <c r="S14" s="2" t="n"/>
      <c r="U14" s="2" t="n">
        <v>7</v>
      </c>
    </row>
    <row r="15">
      <c r="A15" s="2" t="inlineStr">
        <is>
          <t>o997fRSR6LJmTbgjjf3QNSh6ZeEQ9AdmBJCLaokaFmu</t>
        </is>
      </c>
      <c r="B15" s="2" t="n"/>
      <c r="C15" s="2">
        <f>COUNT(E15:G15)</f>
        <v/>
      </c>
      <c r="D15" s="2" t="inlineStr">
        <is>
          <t>SolanaTracker</t>
        </is>
      </c>
      <c r="E15" s="2" t="n"/>
      <c r="F15" s="2" t="n">
        <v>7</v>
      </c>
      <c r="G15" s="2" t="n"/>
      <c r="H15" s="8" t="n"/>
      <c r="I15" s="8" t="n">
        <v>2093.41</v>
      </c>
      <c r="J15" s="8" t="n"/>
      <c r="K15" s="8">
        <f>IF(COUNT(H15:J15)&gt;=2,MAX(H15:J15)-MIN(H15:J15),"")</f>
        <v/>
      </c>
      <c r="L15" s="9">
        <f>IF(ISNUMBER(K15),IF(MAX(ABS(MAX(H15:J15)),ABS(MIN(H15:J15)))=0,"",K15/MAX(ABS(MAX(H15:J15)),ABS(MIN(H15:J15)))),"")</f>
        <v/>
      </c>
      <c r="M15" s="2">
        <f>IF(AND(ISNUMBER(K15),ISNUMBER(L15)),IF(AND(K15&gt;=Ringkasan!$B$10,L15&gt;=Ringkasan!$B$11),"yes",""),"")</f>
        <v/>
      </c>
      <c r="N15" s="2" t="inlineStr">
        <is>
          <t>SolanaTracker</t>
        </is>
      </c>
      <c r="O15" s="2" t="n"/>
      <c r="Q15" s="2" t="inlineStr">
        <is>
          <t>fomo</t>
        </is>
      </c>
      <c r="S15" s="2" t="n"/>
      <c r="U15" s="2" t="n">
        <v>8</v>
      </c>
    </row>
    <row r="16">
      <c r="A16" s="2" t="inlineStr">
        <is>
          <t>4yo9CUuTBbds9NFhZd4MzPiZZkUvveXdTnAH8qMsE8ku</t>
        </is>
      </c>
      <c r="B16" s="2" t="inlineStr">
        <is>
          <t>Gfree</t>
        </is>
      </c>
      <c r="C16" s="2">
        <f>COUNT(E16:G16)</f>
        <v/>
      </c>
      <c r="D16" s="2" t="inlineStr">
        <is>
          <t>Vybe</t>
        </is>
      </c>
      <c r="E16" s="2" t="n">
        <v>2</v>
      </c>
      <c r="F16" s="2" t="n"/>
      <c r="G16" s="2" t="n"/>
      <c r="H16" s="8" t="n">
        <v>1896.455533524687</v>
      </c>
      <c r="I16" s="8" t="n"/>
      <c r="J16" s="8" t="n"/>
      <c r="K16" s="8">
        <f>IF(COUNT(H16:J16)&gt;=2,MAX(H16:J16)-MIN(H16:J16),"")</f>
        <v/>
      </c>
      <c r="L16" s="9">
        <f>IF(ISNUMBER(K16),IF(MAX(ABS(MAX(H16:J16)),ABS(MIN(H16:J16)))=0,"",K16/MAX(ABS(MAX(H16:J16)),ABS(MIN(H16:J16)))),"")</f>
        <v/>
      </c>
      <c r="M16" s="2">
        <f>IF(AND(ISNUMBER(K16),ISNUMBER(L16)),IF(AND(K16&gt;=Ringkasan!$B$10,L16&gt;=Ringkasan!$B$11),"yes",""),"")</f>
        <v/>
      </c>
      <c r="N16" s="2" t="inlineStr">
        <is>
          <t>Vybe</t>
        </is>
      </c>
      <c r="O16" s="2" t="n"/>
      <c r="P16" s="2" t="inlineStr">
        <is>
          <t>KOL</t>
        </is>
      </c>
      <c r="S16" s="2" t="n"/>
      <c r="T16" s="2" t="n">
        <v>3</v>
      </c>
    </row>
    <row r="17">
      <c r="A17" s="2" t="inlineStr">
        <is>
          <t>6NZWg24HVWuhPrNQuJ5bdxGYmUTrB62tAQEmHnyErErL</t>
        </is>
      </c>
      <c r="B17" s="2" t="n"/>
      <c r="C17" s="2">
        <f>COUNT(E17:G17)</f>
        <v/>
      </c>
      <c r="D17" s="2" t="inlineStr">
        <is>
          <t>SolanaTracker</t>
        </is>
      </c>
      <c r="E17" s="2" t="n"/>
      <c r="F17" s="2" t="n">
        <v>8</v>
      </c>
      <c r="G17" s="2" t="n"/>
      <c r="H17" s="8" t="n"/>
      <c r="I17" s="8" t="n">
        <v>1864.46</v>
      </c>
      <c r="J17" s="8" t="n"/>
      <c r="K17" s="8">
        <f>IF(COUNT(H17:J17)&gt;=2,MAX(H17:J17)-MIN(H17:J17),"")</f>
        <v/>
      </c>
      <c r="L17" s="9">
        <f>IF(ISNUMBER(K17),IF(MAX(ABS(MAX(H17:J17)),ABS(MIN(H17:J17)))=0,"",K17/MAX(ABS(MAX(H17:J17)),ABS(MIN(H17:J17)))),"")</f>
        <v/>
      </c>
      <c r="M17" s="2">
        <f>IF(AND(ISNUMBER(K17),ISNUMBER(L17)),IF(AND(K17&gt;=Ringkasan!$B$10,L17&gt;=Ringkasan!$B$11),"yes",""),"")</f>
        <v/>
      </c>
      <c r="N17" s="2" t="inlineStr">
        <is>
          <t>SolanaTracker</t>
        </is>
      </c>
      <c r="O17" s="2" t="n"/>
      <c r="Q17" s="2" t="inlineStr">
        <is>
          <t>gmgn</t>
        </is>
      </c>
      <c r="S17" s="2" t="n"/>
      <c r="U17" s="2" t="n">
        <v>9</v>
      </c>
    </row>
    <row r="18">
      <c r="A18" s="2" t="inlineStr">
        <is>
          <t>GunhR3usjEjQfiDe7ejuHZ9rGZ7BfZjGFXDr8AtcEzMR</t>
        </is>
      </c>
      <c r="B18" s="2" t="n"/>
      <c r="C18" s="2">
        <f>COUNT(E18:G18)</f>
        <v/>
      </c>
      <c r="D18" s="2" t="inlineStr">
        <is>
          <t>SolanaTracker</t>
        </is>
      </c>
      <c r="E18" s="2" t="n"/>
      <c r="F18" s="2" t="n">
        <v>9</v>
      </c>
      <c r="G18" s="2" t="n"/>
      <c r="H18" s="8" t="n"/>
      <c r="I18" s="8" t="n">
        <v>1632.41</v>
      </c>
      <c r="J18" s="8" t="n"/>
      <c r="K18" s="8">
        <f>IF(COUNT(H18:J18)&gt;=2,MAX(H18:J18)-MIN(H18:J18),"")</f>
        <v/>
      </c>
      <c r="L18" s="9">
        <f>IF(ISNUMBER(K18),IF(MAX(ABS(MAX(H18:J18)),ABS(MIN(H18:J18)))=0,"",K18/MAX(ABS(MAX(H18:J18)),ABS(MIN(H18:J18)))),"")</f>
        <v/>
      </c>
      <c r="M18" s="2">
        <f>IF(AND(ISNUMBER(K18),ISNUMBER(L18)),IF(AND(K18&gt;=Ringkasan!$B$10,L18&gt;=Ringkasan!$B$11),"yes",""),"")</f>
        <v/>
      </c>
      <c r="N18" s="2" t="inlineStr">
        <is>
          <t>SolanaTracker</t>
        </is>
      </c>
      <c r="O18" s="2" t="n"/>
      <c r="Q18" s="2" t="inlineStr">
        <is>
          <t>axiom</t>
        </is>
      </c>
      <c r="S18" s="2" t="n"/>
      <c r="U18" s="2" t="n">
        <v>10</v>
      </c>
    </row>
    <row r="19">
      <c r="A19" s="2" t="inlineStr">
        <is>
          <t>EFJxb2HNhpPKmfZzoXHLzokEf6gRdzs3Z3hLNxFBQyJm</t>
        </is>
      </c>
      <c r="B19" s="2" t="inlineStr">
        <is>
          <t>Harko</t>
        </is>
      </c>
      <c r="C19" s="2">
        <f>COUNT(E19:G19)</f>
        <v/>
      </c>
      <c r="D19" s="2" t="inlineStr">
        <is>
          <t>SolanaTracker</t>
        </is>
      </c>
      <c r="E19" s="2" t="n"/>
      <c r="F19" s="2" t="n">
        <v>10</v>
      </c>
      <c r="G19" s="2" t="n"/>
      <c r="H19" s="8" t="n"/>
      <c r="I19" s="8" t="n">
        <v>1533.83</v>
      </c>
      <c r="J19" s="8" t="n"/>
      <c r="K19" s="8">
        <f>IF(COUNT(H19:J19)&gt;=2,MAX(H19:J19)-MIN(H19:J19),"")</f>
        <v/>
      </c>
      <c r="L19" s="9">
        <f>IF(ISNUMBER(K19),IF(MAX(ABS(MAX(H19:J19)),ABS(MIN(H19:J19)))=0,"",K19/MAX(ABS(MAX(H19:J19)),ABS(MIN(H19:J19)))),"")</f>
        <v/>
      </c>
      <c r="M19" s="2">
        <f>IF(AND(ISNUMBER(K19),ISNUMBER(L19)),IF(AND(K19&gt;=Ringkasan!$B$10,L19&gt;=Ringkasan!$B$11),"yes",""),"")</f>
        <v/>
      </c>
      <c r="N19" s="2" t="inlineStr">
        <is>
          <t>SolanaTracker</t>
        </is>
      </c>
      <c r="O19" s="2" t="n"/>
      <c r="Q19" s="2" t="inlineStr">
        <is>
          <t>fomo</t>
        </is>
      </c>
      <c r="S19" s="2" t="n"/>
      <c r="U19" s="2" t="n">
        <v>11</v>
      </c>
    </row>
    <row r="20">
      <c r="A20" s="2" t="inlineStr">
        <is>
          <t>6cLXobwM9PkXaiV2hFg2FwAH5eAUuodgQWNU7vAQESBC</t>
        </is>
      </c>
      <c r="B20" s="2" t="n"/>
      <c r="C20" s="2">
        <f>COUNT(E20:G20)</f>
        <v/>
      </c>
      <c r="D20" s="2" t="inlineStr">
        <is>
          <t>SolanaTracker</t>
        </is>
      </c>
      <c r="E20" s="2" t="n"/>
      <c r="F20" s="2" t="n">
        <v>11</v>
      </c>
      <c r="G20" s="2" t="n"/>
      <c r="H20" s="8" t="n"/>
      <c r="I20" s="8" t="n">
        <v>1523.27</v>
      </c>
      <c r="J20" s="8" t="n"/>
      <c r="K20" s="8">
        <f>IF(COUNT(H20:J20)&gt;=2,MAX(H20:J20)-MIN(H20:J20),"")</f>
        <v/>
      </c>
      <c r="L20" s="9">
        <f>IF(ISNUMBER(K20),IF(MAX(ABS(MAX(H20:J20)),ABS(MIN(H20:J20)))=0,"",K20/MAX(ABS(MAX(H20:J20)),ABS(MIN(H20:J20)))),"")</f>
        <v/>
      </c>
      <c r="M20" s="2">
        <f>IF(AND(ISNUMBER(K20),ISNUMBER(L20)),IF(AND(K20&gt;=Ringkasan!$B$10,L20&gt;=Ringkasan!$B$11),"yes",""),"")</f>
        <v/>
      </c>
      <c r="N20" s="2" t="inlineStr">
        <is>
          <t>SolanaTracker</t>
        </is>
      </c>
      <c r="O20" s="2" t="n"/>
      <c r="Q20" s="2" t="inlineStr">
        <is>
          <t>axiom</t>
        </is>
      </c>
      <c r="S20" s="2" t="n"/>
      <c r="U20" s="2" t="n">
        <v>12</v>
      </c>
    </row>
    <row r="21">
      <c r="A21" s="2" t="inlineStr">
        <is>
          <t>EU8f7oUVEFKYBymLYkDihr8LemRySsoHiy3TaHbnTD9X</t>
        </is>
      </c>
      <c r="B21" s="2" t="n"/>
      <c r="C21" s="2">
        <f>COUNT(E21:G21)</f>
        <v/>
      </c>
      <c r="D21" s="2" t="inlineStr">
        <is>
          <t>SolanaTracker</t>
        </is>
      </c>
      <c r="E21" s="2" t="n"/>
      <c r="F21" s="2" t="n">
        <v>12</v>
      </c>
      <c r="G21" s="2" t="n"/>
      <c r="H21" s="8" t="n"/>
      <c r="I21" s="8" t="n">
        <v>1409.91</v>
      </c>
      <c r="J21" s="8" t="n"/>
      <c r="K21" s="8">
        <f>IF(COUNT(H21:J21)&gt;=2,MAX(H21:J21)-MIN(H21:J21),"")</f>
        <v/>
      </c>
      <c r="L21" s="9">
        <f>IF(ISNUMBER(K21),IF(MAX(ABS(MAX(H21:J21)),ABS(MIN(H21:J21)))=0,"",K21/MAX(ABS(MAX(H21:J21)),ABS(MIN(H21:J21)))),"")</f>
        <v/>
      </c>
      <c r="M21" s="2">
        <f>IF(AND(ISNUMBER(K21),ISNUMBER(L21)),IF(AND(K21&gt;=Ringkasan!$B$10,L21&gt;=Ringkasan!$B$11),"yes",""),"")</f>
        <v/>
      </c>
      <c r="N21" s="2" t="inlineStr">
        <is>
          <t>SolanaTracker</t>
        </is>
      </c>
      <c r="O21" s="2" t="n"/>
      <c r="Q21" s="2" t="inlineStr">
        <is>
          <t>axiom</t>
        </is>
      </c>
      <c r="S21" s="2" t="n"/>
      <c r="U21" s="2" t="n">
        <v>13</v>
      </c>
    </row>
    <row r="22">
      <c r="A22" s="2" t="inlineStr">
        <is>
          <t>BSsyo5oh2tuaZBjjWq6V3NHS66BTHfmV1aJd6RDyknLQ</t>
        </is>
      </c>
      <c r="B22" s="2" t="inlineStr">
        <is>
          <t>Clark 🆓</t>
        </is>
      </c>
      <c r="C22" s="2">
        <f>COUNT(E22:G22)</f>
        <v/>
      </c>
      <c r="D22" s="2" t="inlineStr">
        <is>
          <t>SolanaTracker</t>
        </is>
      </c>
      <c r="E22" s="2" t="n"/>
      <c r="F22" s="2" t="n">
        <v>13</v>
      </c>
      <c r="G22" s="2" t="n"/>
      <c r="H22" s="8" t="n"/>
      <c r="I22" s="8" t="n">
        <v>1408.69</v>
      </c>
      <c r="J22" s="8" t="n"/>
      <c r="K22" s="8">
        <f>IF(COUNT(H22:J22)&gt;=2,MAX(H22:J22)-MIN(H22:J22),"")</f>
        <v/>
      </c>
      <c r="L22" s="9">
        <f>IF(ISNUMBER(K22),IF(MAX(ABS(MAX(H22:J22)),ABS(MIN(H22:J22)))=0,"",K22/MAX(ABS(MAX(H22:J22)),ABS(MIN(H22:J22)))),"")</f>
        <v/>
      </c>
      <c r="M22" s="2">
        <f>IF(AND(ISNUMBER(K22),ISNUMBER(L22)),IF(AND(K22&gt;=Ringkasan!$B$10,L22&gt;=Ringkasan!$B$11),"yes",""),"")</f>
        <v/>
      </c>
      <c r="N22" s="2" t="inlineStr">
        <is>
          <t>SolanaTracker</t>
        </is>
      </c>
      <c r="O22" s="2" t="n"/>
      <c r="Q22" s="2" t="inlineStr">
        <is>
          <t>fomo</t>
        </is>
      </c>
      <c r="S22" s="2" t="n"/>
      <c r="U22" s="2" t="n">
        <v>14</v>
      </c>
    </row>
    <row r="23">
      <c r="A23" s="2" t="inlineStr">
        <is>
          <t>9sqBx1FqZqTi1Zo4TpRamwQDED7wgeueh7wSUyxhKpJE</t>
        </is>
      </c>
      <c r="B23" s="2" t="n"/>
      <c r="C23" s="2">
        <f>COUNT(E23:G23)</f>
        <v/>
      </c>
      <c r="D23" s="2" t="inlineStr">
        <is>
          <t>SolanaTracker</t>
        </is>
      </c>
      <c r="E23" s="2" t="n"/>
      <c r="F23" s="2" t="n">
        <v>14</v>
      </c>
      <c r="G23" s="2" t="n"/>
      <c r="H23" s="8" t="n"/>
      <c r="I23" s="8" t="n">
        <v>1379.73</v>
      </c>
      <c r="J23" s="8" t="n"/>
      <c r="K23" s="8">
        <f>IF(COUNT(H23:J23)&gt;=2,MAX(H23:J23)-MIN(H23:J23),"")</f>
        <v/>
      </c>
      <c r="L23" s="9">
        <f>IF(ISNUMBER(K23),IF(MAX(ABS(MAX(H23:J23)),ABS(MIN(H23:J23)))=0,"",K23/MAX(ABS(MAX(H23:J23)),ABS(MIN(H23:J23)))),"")</f>
        <v/>
      </c>
      <c r="M23" s="2">
        <f>IF(AND(ISNUMBER(K23),ISNUMBER(L23)),IF(AND(K23&gt;=Ringkasan!$B$10,L23&gt;=Ringkasan!$B$11),"yes",""),"")</f>
        <v/>
      </c>
      <c r="N23" s="2" t="inlineStr">
        <is>
          <t>SolanaTracker</t>
        </is>
      </c>
      <c r="O23" s="2" t="n"/>
      <c r="Q23" s="2" t="inlineStr">
        <is>
          <t>axiom</t>
        </is>
      </c>
      <c r="S23" s="2" t="n"/>
      <c r="U23" s="2" t="n">
        <v>15</v>
      </c>
    </row>
    <row r="24">
      <c r="A24" s="2" t="inlineStr">
        <is>
          <t>6SHqkzJfZYiNqmz4xDiwndEAqbubuAVt44LwJ9GF3obS</t>
        </is>
      </c>
      <c r="B24" s="2" t="inlineStr">
        <is>
          <t>ocr ⚘</t>
        </is>
      </c>
      <c r="C24" s="2">
        <f>COUNT(E24:G24)</f>
        <v/>
      </c>
      <c r="D24" s="2" t="inlineStr">
        <is>
          <t>SolanaTracker</t>
        </is>
      </c>
      <c r="E24" s="2" t="n"/>
      <c r="F24" s="2" t="n">
        <v>15</v>
      </c>
      <c r="G24" s="2" t="n"/>
      <c r="H24" s="8" t="n"/>
      <c r="I24" s="8" t="n">
        <v>1243.76</v>
      </c>
      <c r="J24" s="8" t="n"/>
      <c r="K24" s="8">
        <f>IF(COUNT(H24:J24)&gt;=2,MAX(H24:J24)-MIN(H24:J24),"")</f>
        <v/>
      </c>
      <c r="L24" s="9">
        <f>IF(ISNUMBER(K24),IF(MAX(ABS(MAX(H24:J24)),ABS(MIN(H24:J24)))=0,"",K24/MAX(ABS(MAX(H24:J24)),ABS(MIN(H24:J24)))),"")</f>
        <v/>
      </c>
      <c r="M24" s="2">
        <f>IF(AND(ISNUMBER(K24),ISNUMBER(L24)),IF(AND(K24&gt;=Ringkasan!$B$10,L24&gt;=Ringkasan!$B$11),"yes",""),"")</f>
        <v/>
      </c>
      <c r="N24" s="2" t="inlineStr">
        <is>
          <t>SolanaTracker</t>
        </is>
      </c>
      <c r="O24" s="2" t="n"/>
      <c r="Q24" s="2" t="inlineStr">
        <is>
          <t>axiom; fomo</t>
        </is>
      </c>
      <c r="S24" s="2" t="n"/>
      <c r="U24" s="2" t="n">
        <v>16</v>
      </c>
    </row>
    <row r="25">
      <c r="A25" s="2" t="inlineStr">
        <is>
          <t>DPQXGSpn4NXJxUNRwzAJ84CuufM83mToiJseVwPRKL3u</t>
        </is>
      </c>
      <c r="B25" s="2" t="inlineStr">
        <is>
          <t>jaq</t>
        </is>
      </c>
      <c r="C25" s="2">
        <f>COUNT(E25:G25)</f>
        <v/>
      </c>
      <c r="D25" s="2" t="inlineStr">
        <is>
          <t>SolanaTracker</t>
        </is>
      </c>
      <c r="E25" s="2" t="n"/>
      <c r="F25" s="2" t="n">
        <v>16</v>
      </c>
      <c r="G25" s="2" t="n"/>
      <c r="H25" s="8" t="n"/>
      <c r="I25" s="8" t="n">
        <v>1222.39</v>
      </c>
      <c r="J25" s="8" t="n"/>
      <c r="K25" s="8">
        <f>IF(COUNT(H25:J25)&gt;=2,MAX(H25:J25)-MIN(H25:J25),"")</f>
        <v/>
      </c>
      <c r="L25" s="9">
        <f>IF(ISNUMBER(K25),IF(MAX(ABS(MAX(H25:J25)),ABS(MIN(H25:J25)))=0,"",K25/MAX(ABS(MAX(H25:J25)),ABS(MIN(H25:J25)))),"")</f>
        <v/>
      </c>
      <c r="M25" s="2">
        <f>IF(AND(ISNUMBER(K25),ISNUMBER(L25)),IF(AND(K25&gt;=Ringkasan!$B$10,L25&gt;=Ringkasan!$B$11),"yes",""),"")</f>
        <v/>
      </c>
      <c r="N25" s="2" t="inlineStr">
        <is>
          <t>SolanaTracker</t>
        </is>
      </c>
      <c r="O25" s="2" t="n"/>
      <c r="Q25" s="2" t="inlineStr">
        <is>
          <t>axiom; fomo</t>
        </is>
      </c>
      <c r="S25" s="2" t="n"/>
      <c r="U25" s="2" t="n">
        <v>17</v>
      </c>
    </row>
    <row r="26">
      <c r="A26" s="2" t="inlineStr">
        <is>
          <t>HTYho9ioTJcS4Dymi57HB65RBFu549gjyQ7kncfkknti</t>
        </is>
      </c>
      <c r="B26" s="2" t="inlineStr">
        <is>
          <t>BrazilZZ🇧🇷</t>
        </is>
      </c>
      <c r="C26" s="2">
        <f>COUNT(E26:G26)</f>
        <v/>
      </c>
      <c r="D26" s="2" t="inlineStr">
        <is>
          <t>SolanaTracker</t>
        </is>
      </c>
      <c r="E26" s="2" t="n"/>
      <c r="F26" s="2" t="n">
        <v>17</v>
      </c>
      <c r="G26" s="2" t="n"/>
      <c r="H26" s="8" t="n"/>
      <c r="I26" s="8" t="n">
        <v>1194.31</v>
      </c>
      <c r="J26" s="8" t="n"/>
      <c r="K26" s="8">
        <f>IF(COUNT(H26:J26)&gt;=2,MAX(H26:J26)-MIN(H26:J26),"")</f>
        <v/>
      </c>
      <c r="L26" s="9">
        <f>IF(ISNUMBER(K26),IF(MAX(ABS(MAX(H26:J26)),ABS(MIN(H26:J26)))=0,"",K26/MAX(ABS(MAX(H26:J26)),ABS(MIN(H26:J26)))),"")</f>
        <v/>
      </c>
      <c r="M26" s="2">
        <f>IF(AND(ISNUMBER(K26),ISNUMBER(L26)),IF(AND(K26&gt;=Ringkasan!$B$10,L26&gt;=Ringkasan!$B$11),"yes",""),"")</f>
        <v/>
      </c>
      <c r="N26" s="2" t="inlineStr">
        <is>
          <t>SolanaTracker</t>
        </is>
      </c>
      <c r="O26" s="2" t="n"/>
      <c r="Q26" s="2" t="inlineStr">
        <is>
          <t>fomo</t>
        </is>
      </c>
      <c r="S26" s="2" t="n"/>
      <c r="U26" s="2" t="n">
        <v>18</v>
      </c>
    </row>
    <row r="27">
      <c r="A27" s="2" t="inlineStr">
        <is>
          <t>5dQJ5xZZ1qjcLDZ8PDqymMeKzBDnLFjtzmJv4aCfpui8</t>
        </is>
      </c>
      <c r="B27" s="2" t="n"/>
      <c r="C27" s="2">
        <f>COUNT(E27:G27)</f>
        <v/>
      </c>
      <c r="D27" s="2" t="inlineStr">
        <is>
          <t>SolanaTracker</t>
        </is>
      </c>
      <c r="E27" s="2" t="n"/>
      <c r="F27" s="2" t="n">
        <v>18</v>
      </c>
      <c r="G27" s="2" t="n"/>
      <c r="H27" s="8" t="n"/>
      <c r="I27" s="8" t="n">
        <v>1159.82</v>
      </c>
      <c r="J27" s="8" t="n"/>
      <c r="K27" s="8">
        <f>IF(COUNT(H27:J27)&gt;=2,MAX(H27:J27)-MIN(H27:J27),"")</f>
        <v/>
      </c>
      <c r="L27" s="9">
        <f>IF(ISNUMBER(K27),IF(MAX(ABS(MAX(H27:J27)),ABS(MIN(H27:J27)))=0,"",K27/MAX(ABS(MAX(H27:J27)),ABS(MIN(H27:J27)))),"")</f>
        <v/>
      </c>
      <c r="M27" s="2">
        <f>IF(AND(ISNUMBER(K27),ISNUMBER(L27)),IF(AND(K27&gt;=Ringkasan!$B$10,L27&gt;=Ringkasan!$B$11),"yes",""),"")</f>
        <v/>
      </c>
      <c r="N27" s="2" t="inlineStr">
        <is>
          <t>SolanaTracker</t>
        </is>
      </c>
      <c r="O27" s="2" t="n"/>
      <c r="Q27" s="2" t="inlineStr">
        <is>
          <t>axiom</t>
        </is>
      </c>
      <c r="S27" s="2" t="n"/>
      <c r="U27" s="2" t="n">
        <v>19</v>
      </c>
    </row>
    <row r="28">
      <c r="A28" s="2" t="inlineStr">
        <is>
          <t>7D5fAcz2LTARqPc7D1L2aVFDajizw358PV4tPCTDJpE5</t>
        </is>
      </c>
      <c r="B28" s="2" t="inlineStr">
        <is>
          <t>The Night Owl</t>
        </is>
      </c>
      <c r="C28" s="2">
        <f>COUNT(E28:G28)</f>
        <v/>
      </c>
      <c r="D28" s="2" t="inlineStr">
        <is>
          <t>SolanaTracker</t>
        </is>
      </c>
      <c r="E28" s="2" t="n"/>
      <c r="F28" s="2" t="n">
        <v>19</v>
      </c>
      <c r="G28" s="2" t="n"/>
      <c r="H28" s="8" t="n"/>
      <c r="I28" s="8" t="n">
        <v>1137.87</v>
      </c>
      <c r="J28" s="8" t="n"/>
      <c r="K28" s="8">
        <f>IF(COUNT(H28:J28)&gt;=2,MAX(H28:J28)-MIN(H28:J28),"")</f>
        <v/>
      </c>
      <c r="L28" s="9">
        <f>IF(ISNUMBER(K28),IF(MAX(ABS(MAX(H28:J28)),ABS(MIN(H28:J28)))=0,"",K28/MAX(ABS(MAX(H28:J28)),ABS(MIN(H28:J28)))),"")</f>
        <v/>
      </c>
      <c r="M28" s="2">
        <f>IF(AND(ISNUMBER(K28),ISNUMBER(L28)),IF(AND(K28&gt;=Ringkasan!$B$10,L28&gt;=Ringkasan!$B$11),"yes",""),"")</f>
        <v/>
      </c>
      <c r="N28" s="2" t="inlineStr">
        <is>
          <t>SolanaTracker</t>
        </is>
      </c>
      <c r="O28" s="2" t="n"/>
      <c r="Q28" s="2" t="inlineStr">
        <is>
          <t>potential_bot; fomo</t>
        </is>
      </c>
      <c r="S28" s="2" t="n"/>
      <c r="U28" s="2" t="n">
        <v>20</v>
      </c>
    </row>
    <row r="29">
      <c r="A29" s="2" t="inlineStr">
        <is>
          <t>HB3GebzspXg5PBpeqewkjHPxugf4Uhx8xdZWGPC9q5ks</t>
        </is>
      </c>
      <c r="B29" s="2" t="inlineStr">
        <is>
          <t>snacky14</t>
        </is>
      </c>
      <c r="C29" s="2">
        <f>COUNT(E29:G29)</f>
        <v/>
      </c>
      <c r="D29" s="2" t="inlineStr">
        <is>
          <t>SolanaTracker</t>
        </is>
      </c>
      <c r="E29" s="2" t="n"/>
      <c r="F29" s="2" t="n">
        <v>20</v>
      </c>
      <c r="G29" s="2" t="n"/>
      <c r="H29" s="8" t="n"/>
      <c r="I29" s="8" t="n">
        <v>1120.56</v>
      </c>
      <c r="J29" s="8" t="n"/>
      <c r="K29" s="8">
        <f>IF(COUNT(H29:J29)&gt;=2,MAX(H29:J29)-MIN(H29:J29),"")</f>
        <v/>
      </c>
      <c r="L29" s="9">
        <f>IF(ISNUMBER(K29),IF(MAX(ABS(MAX(H29:J29)),ABS(MIN(H29:J29)))=0,"",K29/MAX(ABS(MAX(H29:J29)),ABS(MIN(H29:J29)))),"")</f>
        <v/>
      </c>
      <c r="M29" s="2">
        <f>IF(AND(ISNUMBER(K29),ISNUMBER(L29)),IF(AND(K29&gt;=Ringkasan!$B$10,L29&gt;=Ringkasan!$B$11),"yes",""),"")</f>
        <v/>
      </c>
      <c r="N29" s="2" t="inlineStr">
        <is>
          <t>SolanaTracker</t>
        </is>
      </c>
      <c r="O29" s="2" t="n"/>
      <c r="Q29" s="2" t="inlineStr">
        <is>
          <t>axiom; pumpfun-app</t>
        </is>
      </c>
      <c r="S29" s="2" t="n"/>
      <c r="U29" s="2" t="n">
        <v>21</v>
      </c>
    </row>
    <row r="30">
      <c r="A30" s="2" t="inlineStr">
        <is>
          <t>6qtsui7ntgkDyB1YzokZAmDeBRTe1GcWTpT76uKpPBPu</t>
        </is>
      </c>
      <c r="B30" s="2" t="n"/>
      <c r="C30" s="2">
        <f>COUNT(E30:G30)</f>
        <v/>
      </c>
      <c r="D30" s="2" t="inlineStr">
        <is>
          <t>SolanaTracker</t>
        </is>
      </c>
      <c r="E30" s="2" t="n"/>
      <c r="F30" s="2" t="n">
        <v>21</v>
      </c>
      <c r="G30" s="2" t="n"/>
      <c r="H30" s="8" t="n"/>
      <c r="I30" s="8" t="n">
        <v>1110.46</v>
      </c>
      <c r="J30" s="8" t="n"/>
      <c r="K30" s="8">
        <f>IF(COUNT(H30:J30)&gt;=2,MAX(H30:J30)-MIN(H30:J30),"")</f>
        <v/>
      </c>
      <c r="L30" s="9">
        <f>IF(ISNUMBER(K30),IF(MAX(ABS(MAX(H30:J30)),ABS(MIN(H30:J30)))=0,"",K30/MAX(ABS(MAX(H30:J30)),ABS(MIN(H30:J30)))),"")</f>
        <v/>
      </c>
      <c r="M30" s="2">
        <f>IF(AND(ISNUMBER(K30),ISNUMBER(L30)),IF(AND(K30&gt;=Ringkasan!$B$10,L30&gt;=Ringkasan!$B$11),"yes",""),"")</f>
        <v/>
      </c>
      <c r="N30" s="2" t="inlineStr">
        <is>
          <t>SolanaTracker</t>
        </is>
      </c>
      <c r="O30" s="2" t="n"/>
      <c r="Q30" s="2" t="inlineStr">
        <is>
          <t>axiom</t>
        </is>
      </c>
      <c r="S30" s="2" t="n"/>
      <c r="U30" s="2" t="n">
        <v>22</v>
      </c>
    </row>
    <row r="31">
      <c r="A31" s="2" t="inlineStr">
        <is>
          <t>3YRuiSpoPpxjrdZMTQvXVK2v4Cjdy6ZTzV5NpxSaW4gQ</t>
        </is>
      </c>
      <c r="B31" s="2" t="n"/>
      <c r="C31" s="2">
        <f>COUNT(E31:G31)</f>
        <v/>
      </c>
      <c r="D31" s="2" t="inlineStr">
        <is>
          <t>SolanaTracker</t>
        </is>
      </c>
      <c r="E31" s="2" t="n"/>
      <c r="F31" s="2" t="n">
        <v>22</v>
      </c>
      <c r="G31" s="2" t="n"/>
      <c r="H31" s="8" t="n"/>
      <c r="I31" s="8" t="n">
        <v>1054.96</v>
      </c>
      <c r="J31" s="8" t="n"/>
      <c r="K31" s="8">
        <f>IF(COUNT(H31:J31)&gt;=2,MAX(H31:J31)-MIN(H31:J31),"")</f>
        <v/>
      </c>
      <c r="L31" s="9">
        <f>IF(ISNUMBER(K31),IF(MAX(ABS(MAX(H31:J31)),ABS(MIN(H31:J31)))=0,"",K31/MAX(ABS(MAX(H31:J31)),ABS(MIN(H31:J31)))),"")</f>
        <v/>
      </c>
      <c r="M31" s="2">
        <f>IF(AND(ISNUMBER(K31),ISNUMBER(L31)),IF(AND(K31&gt;=Ringkasan!$B$10,L31&gt;=Ringkasan!$B$11),"yes",""),"")</f>
        <v/>
      </c>
      <c r="N31" s="2" t="inlineStr">
        <is>
          <t>SolanaTracker</t>
        </is>
      </c>
      <c r="O31" s="2" t="n"/>
      <c r="Q31" s="2" t="inlineStr">
        <is>
          <t>axiom; bloom</t>
        </is>
      </c>
      <c r="S31" s="2" t="n"/>
      <c r="U31" s="2" t="n">
        <v>23</v>
      </c>
    </row>
    <row r="32">
      <c r="A32" s="2" t="inlineStr">
        <is>
          <t>FSHXkmt8TPdwE3Qe9xxpX7QFVfJC4YfdDsCzZmM2G2Wi</t>
        </is>
      </c>
      <c r="B32" s="2" t="inlineStr">
        <is>
          <t>neverforever.sol</t>
        </is>
      </c>
      <c r="C32" s="2">
        <f>COUNT(E32:G32)</f>
        <v/>
      </c>
      <c r="D32" s="2" t="inlineStr">
        <is>
          <t>SolanaTracker</t>
        </is>
      </c>
      <c r="E32" s="2" t="n"/>
      <c r="F32" s="2" t="n">
        <v>23</v>
      </c>
      <c r="G32" s="2" t="n"/>
      <c r="H32" s="8" t="n"/>
      <c r="I32" s="8" t="n">
        <v>1017.8</v>
      </c>
      <c r="J32" s="8" t="n"/>
      <c r="K32" s="8">
        <f>IF(COUNT(H32:J32)&gt;=2,MAX(H32:J32)-MIN(H32:J32),"")</f>
        <v/>
      </c>
      <c r="L32" s="9">
        <f>IF(ISNUMBER(K32),IF(MAX(ABS(MAX(H32:J32)),ABS(MIN(H32:J32)))=0,"",K32/MAX(ABS(MAX(H32:J32)),ABS(MIN(H32:J32)))),"")</f>
        <v/>
      </c>
      <c r="M32" s="2">
        <f>IF(AND(ISNUMBER(K32),ISNUMBER(L32)),IF(AND(K32&gt;=Ringkasan!$B$10,L32&gt;=Ringkasan!$B$11),"yes",""),"")</f>
        <v/>
      </c>
      <c r="N32" s="2" t="inlineStr">
        <is>
          <t>SolanaTracker</t>
        </is>
      </c>
      <c r="O32" s="2" t="n"/>
      <c r="Q32" s="2" t="inlineStr">
        <is>
          <t>axiom; sns</t>
        </is>
      </c>
      <c r="S32" s="2" t="n"/>
      <c r="U32" s="2" t="n">
        <v>24</v>
      </c>
    </row>
    <row r="33">
      <c r="A33" s="2" t="inlineStr">
        <is>
          <t>9NVFdRNEcreYDZqJAhennP2tTzaiNC2p9h9HWTdjLBuB</t>
        </is>
      </c>
      <c r="B33" s="2" t="n"/>
      <c r="C33" s="2">
        <f>COUNT(E33:G33)</f>
        <v/>
      </c>
      <c r="D33" s="2" t="inlineStr">
        <is>
          <t>SolanaTracker</t>
        </is>
      </c>
      <c r="E33" s="2" t="n"/>
      <c r="F33" s="2" t="n">
        <v>24</v>
      </c>
      <c r="G33" s="2" t="n"/>
      <c r="H33" s="8" t="n"/>
      <c r="I33" s="8" t="n">
        <v>1006.62</v>
      </c>
      <c r="J33" s="8" t="n"/>
      <c r="K33" s="8">
        <f>IF(COUNT(H33:J33)&gt;=2,MAX(H33:J33)-MIN(H33:J33),"")</f>
        <v/>
      </c>
      <c r="L33" s="9">
        <f>IF(ISNUMBER(K33),IF(MAX(ABS(MAX(H33:J33)),ABS(MIN(H33:J33)))=0,"",K33/MAX(ABS(MAX(H33:J33)),ABS(MIN(H33:J33)))),"")</f>
        <v/>
      </c>
      <c r="M33" s="2">
        <f>IF(AND(ISNUMBER(K33),ISNUMBER(L33)),IF(AND(K33&gt;=Ringkasan!$B$10,L33&gt;=Ringkasan!$B$11),"yes",""),"")</f>
        <v/>
      </c>
      <c r="N33" s="2" t="inlineStr">
        <is>
          <t>SolanaTracker</t>
        </is>
      </c>
      <c r="O33" s="2" t="n"/>
      <c r="Q33" s="2" t="inlineStr">
        <is>
          <t>axiom; fomo</t>
        </is>
      </c>
      <c r="S33" s="2" t="n"/>
      <c r="U33" s="2" t="n">
        <v>25</v>
      </c>
    </row>
    <row r="34">
      <c r="A34" s="2" t="inlineStr">
        <is>
          <t>DFvoyXaNPANK9ENGekE88FALjt2CMHWspZKTg62hJJ1Z</t>
        </is>
      </c>
      <c r="B34" s="2" t="n"/>
      <c r="C34" s="2">
        <f>COUNT(E34:G34)</f>
        <v/>
      </c>
      <c r="D34" s="2" t="inlineStr">
        <is>
          <t>SolanaTracker</t>
        </is>
      </c>
      <c r="E34" s="2" t="n"/>
      <c r="F34" s="2" t="n">
        <v>25</v>
      </c>
      <c r="G34" s="2" t="n"/>
      <c r="H34" s="8" t="n"/>
      <c r="I34" s="8" t="n">
        <v>998.59</v>
      </c>
      <c r="J34" s="8" t="n"/>
      <c r="K34" s="8">
        <f>IF(COUNT(H34:J34)&gt;=2,MAX(H34:J34)-MIN(H34:J34),"")</f>
        <v/>
      </c>
      <c r="L34" s="9">
        <f>IF(ISNUMBER(K34),IF(MAX(ABS(MAX(H34:J34)),ABS(MIN(H34:J34)))=0,"",K34/MAX(ABS(MAX(H34:J34)),ABS(MIN(H34:J34)))),"")</f>
        <v/>
      </c>
      <c r="M34" s="2">
        <f>IF(AND(ISNUMBER(K34),ISNUMBER(L34)),IF(AND(K34&gt;=Ringkasan!$B$10,L34&gt;=Ringkasan!$B$11),"yes",""),"")</f>
        <v/>
      </c>
      <c r="N34" s="2" t="inlineStr">
        <is>
          <t>SolanaTracker</t>
        </is>
      </c>
      <c r="O34" s="2" t="n"/>
      <c r="Q34" s="2" t="inlineStr">
        <is>
          <t>fomo</t>
        </is>
      </c>
      <c r="S34" s="2" t="n"/>
      <c r="U34" s="2" t="n">
        <v>26</v>
      </c>
    </row>
    <row r="35">
      <c r="A35" s="2" t="inlineStr">
        <is>
          <t>DEdwtjvCs6dSadA8b6EQwCP95mXebTqMDK6wh13xhdpR</t>
        </is>
      </c>
      <c r="B35" s="2" t="n"/>
      <c r="C35" s="2">
        <f>COUNT(E35:G35)</f>
        <v/>
      </c>
      <c r="D35" s="2" t="inlineStr">
        <is>
          <t>SolanaTracker</t>
        </is>
      </c>
      <c r="E35" s="2" t="n"/>
      <c r="F35" s="2" t="n">
        <v>26</v>
      </c>
      <c r="G35" s="2" t="n"/>
      <c r="H35" s="8" t="n"/>
      <c r="I35" s="8" t="n">
        <v>989.4</v>
      </c>
      <c r="J35" s="8" t="n"/>
      <c r="K35" s="8">
        <f>IF(COUNT(H35:J35)&gt;=2,MAX(H35:J35)-MIN(H35:J35),"")</f>
        <v/>
      </c>
      <c r="L35" s="9">
        <f>IF(ISNUMBER(K35),IF(MAX(ABS(MAX(H35:J35)),ABS(MIN(H35:J35)))=0,"",K35/MAX(ABS(MAX(H35:J35)),ABS(MIN(H35:J35)))),"")</f>
        <v/>
      </c>
      <c r="M35" s="2">
        <f>IF(AND(ISNUMBER(K35),ISNUMBER(L35)),IF(AND(K35&gt;=Ringkasan!$B$10,L35&gt;=Ringkasan!$B$11),"yes",""),"")</f>
        <v/>
      </c>
      <c r="N35" s="2" t="inlineStr">
        <is>
          <t>SolanaTracker</t>
        </is>
      </c>
      <c r="O35" s="2" t="n"/>
      <c r="Q35" s="2" t="inlineStr">
        <is>
          <t>terminal; axiom</t>
        </is>
      </c>
      <c r="S35" s="2" t="n"/>
      <c r="U35" s="2" t="n">
        <v>27</v>
      </c>
    </row>
    <row r="36">
      <c r="A36" s="2" t="inlineStr">
        <is>
          <t>GNJmDgfMeVD5gvfSFSyJzCXnFNSxM5xhnzSToTQ4YbUz</t>
        </is>
      </c>
      <c r="B36" s="2" t="n"/>
      <c r="C36" s="2">
        <f>COUNT(E36:G36)</f>
        <v/>
      </c>
      <c r="D36" s="2" t="inlineStr">
        <is>
          <t>SolanaTracker</t>
        </is>
      </c>
      <c r="E36" s="2" t="n"/>
      <c r="F36" s="2" t="n">
        <v>27</v>
      </c>
      <c r="G36" s="2" t="n"/>
      <c r="H36" s="8" t="n"/>
      <c r="I36" s="8" t="n">
        <v>983.76</v>
      </c>
      <c r="J36" s="8" t="n"/>
      <c r="K36" s="8">
        <f>IF(COUNT(H36:J36)&gt;=2,MAX(H36:J36)-MIN(H36:J36),"")</f>
        <v/>
      </c>
      <c r="L36" s="9">
        <f>IF(ISNUMBER(K36),IF(MAX(ABS(MAX(H36:J36)),ABS(MIN(H36:J36)))=0,"",K36/MAX(ABS(MAX(H36:J36)),ABS(MIN(H36:J36)))),"")</f>
        <v/>
      </c>
      <c r="M36" s="2">
        <f>IF(AND(ISNUMBER(K36),ISNUMBER(L36)),IF(AND(K36&gt;=Ringkasan!$B$10,L36&gt;=Ringkasan!$B$11),"yes",""),"")</f>
        <v/>
      </c>
      <c r="N36" s="2" t="inlineStr">
        <is>
          <t>SolanaTracker</t>
        </is>
      </c>
      <c r="O36" s="2" t="n"/>
      <c r="Q36" s="2" t="inlineStr">
        <is>
          <t>axiom</t>
        </is>
      </c>
      <c r="S36" s="2" t="n"/>
      <c r="U36" s="2" t="n">
        <v>28</v>
      </c>
    </row>
    <row r="37">
      <c r="A37" s="2" t="inlineStr">
        <is>
          <t>5d3HHrbc9Ho48jibqiVM5GJi7cuL3p17SiJkc1y8qrQ3</t>
        </is>
      </c>
      <c r="B37" s="2" t="n"/>
      <c r="C37" s="2">
        <f>COUNT(E37:G37)</f>
        <v/>
      </c>
      <c r="D37" s="2" t="inlineStr">
        <is>
          <t>SolanaTracker</t>
        </is>
      </c>
      <c r="E37" s="2" t="n"/>
      <c r="F37" s="2" t="n">
        <v>30</v>
      </c>
      <c r="G37" s="2" t="n"/>
      <c r="H37" s="8" t="n"/>
      <c r="I37" s="8" t="n">
        <v>916.13</v>
      </c>
      <c r="J37" s="8" t="n"/>
      <c r="K37" s="8">
        <f>IF(COUNT(H37:J37)&gt;=2,MAX(H37:J37)-MIN(H37:J37),"")</f>
        <v/>
      </c>
      <c r="L37" s="9">
        <f>IF(ISNUMBER(K37),IF(MAX(ABS(MAX(H37:J37)),ABS(MIN(H37:J37)))=0,"",K37/MAX(ABS(MAX(H37:J37)),ABS(MIN(H37:J37)))),"")</f>
        <v/>
      </c>
      <c r="M37" s="2">
        <f>IF(AND(ISNUMBER(K37),ISNUMBER(L37)),IF(AND(K37&gt;=Ringkasan!$B$10,L37&gt;=Ringkasan!$B$11),"yes",""),"")</f>
        <v/>
      </c>
      <c r="N37" s="2" t="inlineStr">
        <is>
          <t>SolanaTracker</t>
        </is>
      </c>
      <c r="O37" s="2" t="n"/>
      <c r="Q37" s="2" t="inlineStr">
        <is>
          <t>axiom</t>
        </is>
      </c>
      <c r="S37" s="2" t="n"/>
      <c r="U37" s="2" t="n">
        <v>31</v>
      </c>
    </row>
    <row r="38">
      <c r="A38" s="2" t="inlineStr">
        <is>
          <t>BWiJ8aqkhSQx55KA4mB8KXv82ga2972tLtgpAZiuocrU</t>
        </is>
      </c>
      <c r="B38" s="2" t="n"/>
      <c r="C38" s="2">
        <f>COUNT(E38:G38)</f>
        <v/>
      </c>
      <c r="D38" s="2" t="inlineStr">
        <is>
          <t>SolanaTracker</t>
        </is>
      </c>
      <c r="E38" s="2" t="n"/>
      <c r="F38" s="2" t="n">
        <v>31</v>
      </c>
      <c r="G38" s="2" t="n"/>
      <c r="H38" s="8" t="n"/>
      <c r="I38" s="8" t="n">
        <v>914.37</v>
      </c>
      <c r="J38" s="8" t="n"/>
      <c r="K38" s="8">
        <f>IF(COUNT(H38:J38)&gt;=2,MAX(H38:J38)-MIN(H38:J38),"")</f>
        <v/>
      </c>
      <c r="L38" s="9">
        <f>IF(ISNUMBER(K38),IF(MAX(ABS(MAX(H38:J38)),ABS(MIN(H38:J38)))=0,"",K38/MAX(ABS(MAX(H38:J38)),ABS(MIN(H38:J38)))),"")</f>
        <v/>
      </c>
      <c r="M38" s="2">
        <f>IF(AND(ISNUMBER(K38),ISNUMBER(L38)),IF(AND(K38&gt;=Ringkasan!$B$10,L38&gt;=Ringkasan!$B$11),"yes",""),"")</f>
        <v/>
      </c>
      <c r="N38" s="2" t="inlineStr">
        <is>
          <t>SolanaTracker</t>
        </is>
      </c>
      <c r="O38" s="2" t="n"/>
      <c r="Q38" s="2" t="inlineStr">
        <is>
          <t>terminal; axiom</t>
        </is>
      </c>
      <c r="S38" s="2" t="n"/>
      <c r="U38" s="2" t="n">
        <v>32</v>
      </c>
    </row>
    <row r="39">
      <c r="A39" s="2" t="inlineStr">
        <is>
          <t>6AKrfdeLdgsR1NJjSEih7rajxv8AQvrkmmhn9HMuqrcf</t>
        </is>
      </c>
      <c r="B39" s="2" t="n"/>
      <c r="C39" s="2">
        <f>COUNT(E39:G39)</f>
        <v/>
      </c>
      <c r="D39" s="2" t="inlineStr">
        <is>
          <t>SolanaTracker</t>
        </is>
      </c>
      <c r="E39" s="2" t="n"/>
      <c r="F39" s="2" t="n">
        <v>32</v>
      </c>
      <c r="G39" s="2" t="n"/>
      <c r="H39" s="8" t="n"/>
      <c r="I39" s="8" t="n">
        <v>898.4</v>
      </c>
      <c r="J39" s="8" t="n"/>
      <c r="K39" s="8">
        <f>IF(COUNT(H39:J39)&gt;=2,MAX(H39:J39)-MIN(H39:J39),"")</f>
        <v/>
      </c>
      <c r="L39" s="9">
        <f>IF(ISNUMBER(K39),IF(MAX(ABS(MAX(H39:J39)),ABS(MIN(H39:J39)))=0,"",K39/MAX(ABS(MAX(H39:J39)),ABS(MIN(H39:J39)))),"")</f>
        <v/>
      </c>
      <c r="M39" s="2">
        <f>IF(AND(ISNUMBER(K39),ISNUMBER(L39)),IF(AND(K39&gt;=Ringkasan!$B$10,L39&gt;=Ringkasan!$B$11),"yes",""),"")</f>
        <v/>
      </c>
      <c r="N39" s="2" t="inlineStr">
        <is>
          <t>SolanaTracker</t>
        </is>
      </c>
      <c r="O39" s="2" t="n"/>
      <c r="Q39" s="2" t="inlineStr">
        <is>
          <t>potential_bot</t>
        </is>
      </c>
      <c r="S39" s="2" t="n"/>
      <c r="U39" s="2" t="n">
        <v>33</v>
      </c>
    </row>
    <row r="40">
      <c r="A40" s="2" t="inlineStr">
        <is>
          <t>9eUx1DGDzAQuEXR9pSR9u3QworFT8TRgFJatcCiXNURS</t>
        </is>
      </c>
      <c r="B40" s="2" t="inlineStr">
        <is>
          <t>Tristan</t>
        </is>
      </c>
      <c r="C40" s="2">
        <f>COUNT(E40:G40)</f>
        <v/>
      </c>
      <c r="D40" s="2" t="inlineStr">
        <is>
          <t>SolanaTracker</t>
        </is>
      </c>
      <c r="E40" s="2" t="n"/>
      <c r="F40" s="2" t="n">
        <v>33</v>
      </c>
      <c r="G40" s="2" t="n"/>
      <c r="H40" s="8" t="n"/>
      <c r="I40" s="8" t="n">
        <v>883.38</v>
      </c>
      <c r="J40" s="8" t="n"/>
      <c r="K40" s="8">
        <f>IF(COUNT(H40:J40)&gt;=2,MAX(H40:J40)-MIN(H40:J40),"")</f>
        <v/>
      </c>
      <c r="L40" s="9">
        <f>IF(ISNUMBER(K40),IF(MAX(ABS(MAX(H40:J40)),ABS(MIN(H40:J40)))=0,"",K40/MAX(ABS(MAX(H40:J40)),ABS(MIN(H40:J40)))),"")</f>
        <v/>
      </c>
      <c r="M40" s="2">
        <f>IF(AND(ISNUMBER(K40),ISNUMBER(L40)),IF(AND(K40&gt;=Ringkasan!$B$10,L40&gt;=Ringkasan!$B$11),"yes",""),"")</f>
        <v/>
      </c>
      <c r="N40" s="2" t="inlineStr">
        <is>
          <t>SolanaTracker</t>
        </is>
      </c>
      <c r="O40" s="2" t="n"/>
      <c r="Q40" s="2" t="inlineStr">
        <is>
          <t>fomo</t>
        </is>
      </c>
      <c r="S40" s="2" t="n"/>
      <c r="U40" s="2" t="n">
        <v>34</v>
      </c>
    </row>
    <row r="41">
      <c r="A41" s="2" t="inlineStr">
        <is>
          <t>x2zQL7mx6YFuw31gsWJySDfoYjz9YPU6wXMTzuWkuHU</t>
        </is>
      </c>
      <c r="B41" s="2" t="n"/>
      <c r="C41" s="2">
        <f>COUNT(E41:G41)</f>
        <v/>
      </c>
      <c r="D41" s="2" t="inlineStr">
        <is>
          <t>SolanaTracker</t>
        </is>
      </c>
      <c r="E41" s="2" t="n"/>
      <c r="F41" s="2" t="n">
        <v>34</v>
      </c>
      <c r="G41" s="2" t="n"/>
      <c r="H41" s="8" t="n"/>
      <c r="I41" s="8" t="n">
        <v>867.83</v>
      </c>
      <c r="J41" s="8" t="n"/>
      <c r="K41" s="8">
        <f>IF(COUNT(H41:J41)&gt;=2,MAX(H41:J41)-MIN(H41:J41),"")</f>
        <v/>
      </c>
      <c r="L41" s="9">
        <f>IF(ISNUMBER(K41),IF(MAX(ABS(MAX(H41:J41)),ABS(MIN(H41:J41)))=0,"",K41/MAX(ABS(MAX(H41:J41)),ABS(MIN(H41:J41)))),"")</f>
        <v/>
      </c>
      <c r="M41" s="2">
        <f>IF(AND(ISNUMBER(K41),ISNUMBER(L41)),IF(AND(K41&gt;=Ringkasan!$B$10,L41&gt;=Ringkasan!$B$11),"yes",""),"")</f>
        <v/>
      </c>
      <c r="N41" s="2" t="inlineStr">
        <is>
          <t>SolanaTracker</t>
        </is>
      </c>
      <c r="O41" s="2" t="n"/>
      <c r="Q41" s="2" t="inlineStr">
        <is>
          <t>axiom</t>
        </is>
      </c>
      <c r="S41" s="2" t="n"/>
      <c r="U41" s="2" t="n">
        <v>35</v>
      </c>
    </row>
    <row r="42">
      <c r="A42" s="2" t="inlineStr">
        <is>
          <t>BB1x5SKrqBmKk6PvwTtBi6J7knjVmTjXXp7azj6eTGRu</t>
        </is>
      </c>
      <c r="B42" s="2" t="n"/>
      <c r="C42" s="2">
        <f>COUNT(E42:G42)</f>
        <v/>
      </c>
      <c r="D42" s="2" t="inlineStr">
        <is>
          <t>SolanaTracker</t>
        </is>
      </c>
      <c r="E42" s="2" t="n"/>
      <c r="F42" s="2" t="n">
        <v>35</v>
      </c>
      <c r="G42" s="2" t="n"/>
      <c r="H42" s="8" t="n"/>
      <c r="I42" s="8" t="n">
        <v>860.4299999999999</v>
      </c>
      <c r="J42" s="8" t="n"/>
      <c r="K42" s="8">
        <f>IF(COUNT(H42:J42)&gt;=2,MAX(H42:J42)-MIN(H42:J42),"")</f>
        <v/>
      </c>
      <c r="L42" s="9">
        <f>IF(ISNUMBER(K42),IF(MAX(ABS(MAX(H42:J42)),ABS(MIN(H42:J42)))=0,"",K42/MAX(ABS(MAX(H42:J42)),ABS(MIN(H42:J42)))),"")</f>
        <v/>
      </c>
      <c r="M42" s="2">
        <f>IF(AND(ISNUMBER(K42),ISNUMBER(L42)),IF(AND(K42&gt;=Ringkasan!$B$10,L42&gt;=Ringkasan!$B$11),"yes",""),"")</f>
        <v/>
      </c>
      <c r="N42" s="2" t="inlineStr">
        <is>
          <t>SolanaTracker</t>
        </is>
      </c>
      <c r="O42" s="2" t="n"/>
      <c r="Q42" s="2" t="inlineStr">
        <is>
          <t>axiom</t>
        </is>
      </c>
      <c r="S42" s="2" t="n"/>
      <c r="U42" s="2" t="n">
        <v>36</v>
      </c>
    </row>
    <row r="43">
      <c r="A43" s="2" t="inlineStr">
        <is>
          <t>3muYDxhtxKLvBvmwxo2DNVNsjG38LLWMmvhuewvyYPnK</t>
        </is>
      </c>
      <c r="B43" s="2" t="n"/>
      <c r="C43" s="2">
        <f>COUNT(E43:G43)</f>
        <v/>
      </c>
      <c r="D43" s="2" t="inlineStr">
        <is>
          <t>SolanaTracker</t>
        </is>
      </c>
      <c r="E43" s="2" t="n"/>
      <c r="F43" s="2" t="n">
        <v>37</v>
      </c>
      <c r="G43" s="2" t="n"/>
      <c r="H43" s="8" t="n"/>
      <c r="I43" s="8" t="n">
        <v>839.02</v>
      </c>
      <c r="J43" s="8" t="n"/>
      <c r="K43" s="8">
        <f>IF(COUNT(H43:J43)&gt;=2,MAX(H43:J43)-MIN(H43:J43),"")</f>
        <v/>
      </c>
      <c r="L43" s="9">
        <f>IF(ISNUMBER(K43),IF(MAX(ABS(MAX(H43:J43)),ABS(MIN(H43:J43)))=0,"",K43/MAX(ABS(MAX(H43:J43)),ABS(MIN(H43:J43)))),"")</f>
        <v/>
      </c>
      <c r="M43" s="2">
        <f>IF(AND(ISNUMBER(K43),ISNUMBER(L43)),IF(AND(K43&gt;=Ringkasan!$B$10,L43&gt;=Ringkasan!$B$11),"yes",""),"")</f>
        <v/>
      </c>
      <c r="N43" s="2" t="inlineStr">
        <is>
          <t>SolanaTracker</t>
        </is>
      </c>
      <c r="O43" s="2" t="n"/>
      <c r="Q43" s="2" t="inlineStr">
        <is>
          <t>axiom</t>
        </is>
      </c>
      <c r="S43" s="2" t="n"/>
      <c r="U43" s="2" t="n">
        <v>38</v>
      </c>
    </row>
    <row r="44">
      <c r="A44" s="2" t="inlineStr">
        <is>
          <t>8WKJJeDBrK8TPtqZXTXXqbsJV6UoXZx9UQBrPf1QqUvG</t>
        </is>
      </c>
      <c r="B44" s="2" t="n"/>
      <c r="C44" s="2">
        <f>COUNT(E44:G44)</f>
        <v/>
      </c>
      <c r="D44" s="2" t="inlineStr">
        <is>
          <t>SolanaTracker</t>
        </is>
      </c>
      <c r="E44" s="2" t="n"/>
      <c r="F44" s="2" t="n">
        <v>38</v>
      </c>
      <c r="G44" s="2" t="n"/>
      <c r="H44" s="8" t="n"/>
      <c r="I44" s="8" t="n">
        <v>822.53</v>
      </c>
      <c r="J44" s="8" t="n"/>
      <c r="K44" s="8">
        <f>IF(COUNT(H44:J44)&gt;=2,MAX(H44:J44)-MIN(H44:J44),"")</f>
        <v/>
      </c>
      <c r="L44" s="9">
        <f>IF(ISNUMBER(K44),IF(MAX(ABS(MAX(H44:J44)),ABS(MIN(H44:J44)))=0,"",K44/MAX(ABS(MAX(H44:J44)),ABS(MIN(H44:J44)))),"")</f>
        <v/>
      </c>
      <c r="M44" s="2">
        <f>IF(AND(ISNUMBER(K44),ISNUMBER(L44)),IF(AND(K44&gt;=Ringkasan!$B$10,L44&gt;=Ringkasan!$B$11),"yes",""),"")</f>
        <v/>
      </c>
      <c r="N44" s="2" t="inlineStr">
        <is>
          <t>SolanaTracker</t>
        </is>
      </c>
      <c r="O44" s="2" t="n"/>
      <c r="Q44" s="2" t="inlineStr">
        <is>
          <t>axiom; photon</t>
        </is>
      </c>
      <c r="S44" s="2" t="n"/>
      <c r="U44" s="2" t="n">
        <v>39</v>
      </c>
    </row>
    <row r="45">
      <c r="A45" s="2" t="inlineStr">
        <is>
          <t>CTVa2f63dtzf3tx7NBPe3bhV2a5SYm5UiyYSQmV3DDBD</t>
        </is>
      </c>
      <c r="B45" s="2" t="inlineStr">
        <is>
          <t>///Steki🧲</t>
        </is>
      </c>
      <c r="C45" s="2">
        <f>COUNT(E45:G45)</f>
        <v/>
      </c>
      <c r="D45" s="2" t="inlineStr">
        <is>
          <t>SolanaTracker</t>
        </is>
      </c>
      <c r="E45" s="2" t="n"/>
      <c r="F45" s="2" t="n">
        <v>39</v>
      </c>
      <c r="G45" s="2" t="n"/>
      <c r="H45" s="8" t="n"/>
      <c r="I45" s="8" t="n">
        <v>786.29</v>
      </c>
      <c r="J45" s="8" t="n"/>
      <c r="K45" s="8">
        <f>IF(COUNT(H45:J45)&gt;=2,MAX(H45:J45)-MIN(H45:J45),"")</f>
        <v/>
      </c>
      <c r="L45" s="9">
        <f>IF(ISNUMBER(K45),IF(MAX(ABS(MAX(H45:J45)),ABS(MIN(H45:J45)))=0,"",K45/MAX(ABS(MAX(H45:J45)),ABS(MIN(H45:J45)))),"")</f>
        <v/>
      </c>
      <c r="M45" s="2">
        <f>IF(AND(ISNUMBER(K45),ISNUMBER(L45)),IF(AND(K45&gt;=Ringkasan!$B$10,L45&gt;=Ringkasan!$B$11),"yes",""),"")</f>
        <v/>
      </c>
      <c r="N45" s="2" t="inlineStr">
        <is>
          <t>SolanaTracker</t>
        </is>
      </c>
      <c r="O45" s="2" t="n"/>
      <c r="Q45" s="2" t="inlineStr">
        <is>
          <t>fomo</t>
        </is>
      </c>
      <c r="S45" s="2" t="n"/>
      <c r="U45" s="2" t="n">
        <v>40</v>
      </c>
    </row>
    <row r="46">
      <c r="A46" s="2" t="inlineStr">
        <is>
          <t>5aLY85pyxiuX3fd4RgM3Yc1e3MAL6b7UgaZz6MS3JUfG</t>
        </is>
      </c>
      <c r="B46" s="2" t="n"/>
      <c r="C46" s="2">
        <f>COUNT(E46:G46)</f>
        <v/>
      </c>
      <c r="D46" s="2" t="inlineStr">
        <is>
          <t>SolanaTracker</t>
        </is>
      </c>
      <c r="E46" s="2" t="n"/>
      <c r="F46" s="2" t="n">
        <v>42</v>
      </c>
      <c r="G46" s="2" t="n"/>
      <c r="H46" s="8" t="n"/>
      <c r="I46" s="8" t="n">
        <v>740.84</v>
      </c>
      <c r="J46" s="8" t="n"/>
      <c r="K46" s="8">
        <f>IF(COUNT(H46:J46)&gt;=2,MAX(H46:J46)-MIN(H46:J46),"")</f>
        <v/>
      </c>
      <c r="L46" s="9">
        <f>IF(ISNUMBER(K46),IF(MAX(ABS(MAX(H46:J46)),ABS(MIN(H46:J46)))=0,"",K46/MAX(ABS(MAX(H46:J46)),ABS(MIN(H46:J46)))),"")</f>
        <v/>
      </c>
      <c r="M46" s="2">
        <f>IF(AND(ISNUMBER(K46),ISNUMBER(L46)),IF(AND(K46&gt;=Ringkasan!$B$10,L46&gt;=Ringkasan!$B$11),"yes",""),"")</f>
        <v/>
      </c>
      <c r="N46" s="2" t="inlineStr">
        <is>
          <t>SolanaTracker</t>
        </is>
      </c>
      <c r="O46" s="2" t="n"/>
      <c r="Q46" s="2" t="n"/>
      <c r="S46" s="2" t="n"/>
      <c r="U46" s="2" t="n">
        <v>43</v>
      </c>
    </row>
    <row r="47">
      <c r="A47" s="2" t="inlineStr">
        <is>
          <t>AHwQ8ytXEXW7NSP2EFuQSFkbNK85dMJrfuRdRPt45qri</t>
        </is>
      </c>
      <c r="B47" s="2" t="n"/>
      <c r="C47" s="2">
        <f>COUNT(E47:G47)</f>
        <v/>
      </c>
      <c r="D47" s="2" t="inlineStr">
        <is>
          <t>SolanaTracker</t>
        </is>
      </c>
      <c r="E47" s="2" t="n"/>
      <c r="F47" s="2" t="n">
        <v>43</v>
      </c>
      <c r="G47" s="2" t="n"/>
      <c r="H47" s="8" t="n"/>
      <c r="I47" s="8" t="n">
        <v>729.83</v>
      </c>
      <c r="J47" s="8" t="n"/>
      <c r="K47" s="8">
        <f>IF(COUNT(H47:J47)&gt;=2,MAX(H47:J47)-MIN(H47:J47),"")</f>
        <v/>
      </c>
      <c r="L47" s="9">
        <f>IF(ISNUMBER(K47),IF(MAX(ABS(MAX(H47:J47)),ABS(MIN(H47:J47)))=0,"",K47/MAX(ABS(MAX(H47:J47)),ABS(MIN(H47:J47)))),"")</f>
        <v/>
      </c>
      <c r="M47" s="2">
        <f>IF(AND(ISNUMBER(K47),ISNUMBER(L47)),IF(AND(K47&gt;=Ringkasan!$B$10,L47&gt;=Ringkasan!$B$11),"yes",""),"")</f>
        <v/>
      </c>
      <c r="N47" s="2" t="inlineStr">
        <is>
          <t>SolanaTracker</t>
        </is>
      </c>
      <c r="O47" s="2" t="n"/>
      <c r="Q47" s="2" t="inlineStr">
        <is>
          <t>axiom</t>
        </is>
      </c>
      <c r="S47" s="2" t="n"/>
      <c r="U47" s="2" t="n">
        <v>44</v>
      </c>
    </row>
    <row r="48">
      <c r="A48" s="2" t="inlineStr">
        <is>
          <t>A6cjgEcg5zyBn93hsKKHeFP7j5D86BVpN2Nuz81Y71gX</t>
        </is>
      </c>
      <c r="B48" s="2" t="n"/>
      <c r="C48" s="2">
        <f>COUNT(E48:G48)</f>
        <v/>
      </c>
      <c r="D48" s="2" t="inlineStr">
        <is>
          <t>SolanaTracker</t>
        </is>
      </c>
      <c r="E48" s="2" t="n"/>
      <c r="F48" s="2" t="n">
        <v>44</v>
      </c>
      <c r="G48" s="2" t="n"/>
      <c r="H48" s="8" t="n"/>
      <c r="I48" s="8" t="n">
        <v>706.38</v>
      </c>
      <c r="J48" s="8" t="n"/>
      <c r="K48" s="8">
        <f>IF(COUNT(H48:J48)&gt;=2,MAX(H48:J48)-MIN(H48:J48),"")</f>
        <v/>
      </c>
      <c r="L48" s="9">
        <f>IF(ISNUMBER(K48),IF(MAX(ABS(MAX(H48:J48)),ABS(MIN(H48:J48)))=0,"",K48/MAX(ABS(MAX(H48:J48)),ABS(MIN(H48:J48)))),"")</f>
        <v/>
      </c>
      <c r="M48" s="2">
        <f>IF(AND(ISNUMBER(K48),ISNUMBER(L48)),IF(AND(K48&gt;=Ringkasan!$B$10,L48&gt;=Ringkasan!$B$11),"yes",""),"")</f>
        <v/>
      </c>
      <c r="N48" s="2" t="inlineStr">
        <is>
          <t>SolanaTracker</t>
        </is>
      </c>
      <c r="O48" s="2" t="n"/>
      <c r="Q48" s="2" t="n"/>
      <c r="S48" s="2" t="n"/>
      <c r="U48" s="2" t="n">
        <v>45</v>
      </c>
    </row>
    <row r="49">
      <c r="A49" s="2" t="inlineStr">
        <is>
          <t>EAc26Jr5yVNFXYbzsAYJj59J4Z1k9jEnd4B2jC7ta6pB</t>
        </is>
      </c>
      <c r="B49" s="2" t="n"/>
      <c r="C49" s="2">
        <f>COUNT(E49:G49)</f>
        <v/>
      </c>
      <c r="D49" s="2" t="inlineStr">
        <is>
          <t>SolanaTracker</t>
        </is>
      </c>
      <c r="E49" s="2" t="n"/>
      <c r="F49" s="2" t="n">
        <v>45</v>
      </c>
      <c r="G49" s="2" t="n"/>
      <c r="H49" s="8" t="n"/>
      <c r="I49" s="8" t="n">
        <v>703.85</v>
      </c>
      <c r="J49" s="8" t="n"/>
      <c r="K49" s="8">
        <f>IF(COUNT(H49:J49)&gt;=2,MAX(H49:J49)-MIN(H49:J49),"")</f>
        <v/>
      </c>
      <c r="L49" s="9">
        <f>IF(ISNUMBER(K49),IF(MAX(ABS(MAX(H49:J49)),ABS(MIN(H49:J49)))=0,"",K49/MAX(ABS(MAX(H49:J49)),ABS(MIN(H49:J49)))),"")</f>
        <v/>
      </c>
      <c r="M49" s="2">
        <f>IF(AND(ISNUMBER(K49),ISNUMBER(L49)),IF(AND(K49&gt;=Ringkasan!$B$10,L49&gt;=Ringkasan!$B$11),"yes",""),"")</f>
        <v/>
      </c>
      <c r="N49" s="2" t="inlineStr">
        <is>
          <t>SolanaTracker</t>
        </is>
      </c>
      <c r="O49" s="2" t="n"/>
      <c r="Q49" s="2" t="inlineStr">
        <is>
          <t>axiom</t>
        </is>
      </c>
      <c r="S49" s="2" t="n"/>
      <c r="U49" s="2" t="n">
        <v>46</v>
      </c>
    </row>
    <row r="50">
      <c r="A50" s="2" t="inlineStr">
        <is>
          <t>8VFMdX5fhE7Azg2zZHyPR73Bd9x1vVEf3AjbaBziuvCu</t>
        </is>
      </c>
      <c r="B50" s="2" t="n"/>
      <c r="C50" s="2">
        <f>COUNT(E50:G50)</f>
        <v/>
      </c>
      <c r="D50" s="2" t="inlineStr">
        <is>
          <t>SolanaTracker</t>
        </is>
      </c>
      <c r="E50" s="2" t="n"/>
      <c r="F50" s="2" t="n">
        <v>46</v>
      </c>
      <c r="G50" s="2" t="n"/>
      <c r="H50" s="8" t="n"/>
      <c r="I50" s="8" t="n">
        <v>703.14</v>
      </c>
      <c r="J50" s="8" t="n"/>
      <c r="K50" s="8">
        <f>IF(COUNT(H50:J50)&gt;=2,MAX(H50:J50)-MIN(H50:J50),"")</f>
        <v/>
      </c>
      <c r="L50" s="9">
        <f>IF(ISNUMBER(K50),IF(MAX(ABS(MAX(H50:J50)),ABS(MIN(H50:J50)))=0,"",K50/MAX(ABS(MAX(H50:J50)),ABS(MIN(H50:J50)))),"")</f>
        <v/>
      </c>
      <c r="M50" s="2">
        <f>IF(AND(ISNUMBER(K50),ISNUMBER(L50)),IF(AND(K50&gt;=Ringkasan!$B$10,L50&gt;=Ringkasan!$B$11),"yes",""),"")</f>
        <v/>
      </c>
      <c r="N50" s="2" t="inlineStr">
        <is>
          <t>SolanaTracker</t>
        </is>
      </c>
      <c r="O50" s="2" t="n"/>
      <c r="Q50" s="2" t="inlineStr">
        <is>
          <t>terminal</t>
        </is>
      </c>
      <c r="S50" s="2" t="n"/>
      <c r="U50" s="2" t="n">
        <v>47</v>
      </c>
    </row>
    <row r="51">
      <c r="A51" s="2" t="inlineStr">
        <is>
          <t>5h857RqmgcSjf2yz6E9Jh2zga5RaYTKzm1yK4uSnKD7n</t>
        </is>
      </c>
      <c r="B51" s="2" t="n"/>
      <c r="C51" s="2">
        <f>COUNT(E51:G51)</f>
        <v/>
      </c>
      <c r="D51" s="2" t="inlineStr">
        <is>
          <t>SolanaTracker</t>
        </is>
      </c>
      <c r="E51" s="2" t="n"/>
      <c r="F51" s="2" t="n">
        <v>47</v>
      </c>
      <c r="G51" s="2" t="n"/>
      <c r="H51" s="8" t="n"/>
      <c r="I51" s="8" t="n">
        <v>687.1</v>
      </c>
      <c r="J51" s="8" t="n"/>
      <c r="K51" s="8">
        <f>IF(COUNT(H51:J51)&gt;=2,MAX(H51:J51)-MIN(H51:J51),"")</f>
        <v/>
      </c>
      <c r="L51" s="9">
        <f>IF(ISNUMBER(K51),IF(MAX(ABS(MAX(H51:J51)),ABS(MIN(H51:J51)))=0,"",K51/MAX(ABS(MAX(H51:J51)),ABS(MIN(H51:J51)))),"")</f>
        <v/>
      </c>
      <c r="M51" s="2">
        <f>IF(AND(ISNUMBER(K51),ISNUMBER(L51)),IF(AND(K51&gt;=Ringkasan!$B$10,L51&gt;=Ringkasan!$B$11),"yes",""),"")</f>
        <v/>
      </c>
      <c r="N51" s="2" t="inlineStr">
        <is>
          <t>SolanaTracker</t>
        </is>
      </c>
      <c r="O51" s="2" t="n"/>
      <c r="Q51" s="2" t="inlineStr">
        <is>
          <t>axiom</t>
        </is>
      </c>
      <c r="S51" s="2" t="n"/>
      <c r="U51" s="2" t="n">
        <v>48</v>
      </c>
    </row>
    <row r="52">
      <c r="A52" s="2" t="inlineStr">
        <is>
          <t>HP2ZzCnMP8NKFngqtpjvt6qR5YRDm3c3rubbAUvQMsqL</t>
        </is>
      </c>
      <c r="B52" s="2" t="inlineStr">
        <is>
          <t>fomo-user</t>
        </is>
      </c>
      <c r="C52" s="2">
        <f>COUNT(E52:G52)</f>
        <v/>
      </c>
      <c r="D52" s="2" t="inlineStr">
        <is>
          <t>SolanaTracker</t>
        </is>
      </c>
      <c r="E52" s="2" t="n"/>
      <c r="F52" s="2" t="n">
        <v>49</v>
      </c>
      <c r="G52" s="2" t="n"/>
      <c r="H52" s="8" t="n"/>
      <c r="I52" s="8" t="n">
        <v>668.8200000000001</v>
      </c>
      <c r="J52" s="8" t="n"/>
      <c r="K52" s="8">
        <f>IF(COUNT(H52:J52)&gt;=2,MAX(H52:J52)-MIN(H52:J52),"")</f>
        <v/>
      </c>
      <c r="L52" s="9">
        <f>IF(ISNUMBER(K52),IF(MAX(ABS(MAX(H52:J52)),ABS(MIN(H52:J52)))=0,"",K52/MAX(ABS(MAX(H52:J52)),ABS(MIN(H52:J52)))),"")</f>
        <v/>
      </c>
      <c r="M52" s="2">
        <f>IF(AND(ISNUMBER(K52),ISNUMBER(L52)),IF(AND(K52&gt;=Ringkasan!$B$10,L52&gt;=Ringkasan!$B$11),"yes",""),"")</f>
        <v/>
      </c>
      <c r="N52" s="2" t="inlineStr">
        <is>
          <t>SolanaTracker</t>
        </is>
      </c>
      <c r="O52" s="2" t="n"/>
      <c r="Q52" s="2" t="inlineStr">
        <is>
          <t>axiom; fomo</t>
        </is>
      </c>
      <c r="S52" s="2" t="n"/>
      <c r="U52" s="2" t="n">
        <v>50</v>
      </c>
    </row>
    <row r="53">
      <c r="A53" s="2" t="inlineStr">
        <is>
          <t>CABgtkGrBFDs7fU8zCBog1RnrVC5VhTN7LeRyVrVSMW1</t>
        </is>
      </c>
      <c r="B53" s="2" t="n"/>
      <c r="C53" s="2">
        <f>COUNT(E53:G53)</f>
        <v/>
      </c>
      <c r="D53" s="2" t="inlineStr">
        <is>
          <t>SolanaTracker</t>
        </is>
      </c>
      <c r="E53" s="2" t="n"/>
      <c r="F53" s="2" t="n">
        <v>50</v>
      </c>
      <c r="G53" s="2" t="n"/>
      <c r="H53" s="8" t="n"/>
      <c r="I53" s="8" t="n">
        <v>668.03</v>
      </c>
      <c r="J53" s="8" t="n"/>
      <c r="K53" s="8">
        <f>IF(COUNT(H53:J53)&gt;=2,MAX(H53:J53)-MIN(H53:J53),"")</f>
        <v/>
      </c>
      <c r="L53" s="9">
        <f>IF(ISNUMBER(K53),IF(MAX(ABS(MAX(H53:J53)),ABS(MIN(H53:J53)))=0,"",K53/MAX(ABS(MAX(H53:J53)),ABS(MIN(H53:J53)))),"")</f>
        <v/>
      </c>
      <c r="M53" s="2">
        <f>IF(AND(ISNUMBER(K53),ISNUMBER(L53)),IF(AND(K53&gt;=Ringkasan!$B$10,L53&gt;=Ringkasan!$B$11),"yes",""),"")</f>
        <v/>
      </c>
      <c r="N53" s="2" t="inlineStr">
        <is>
          <t>SolanaTracker</t>
        </is>
      </c>
      <c r="O53" s="2" t="n"/>
      <c r="Q53" s="2" t="inlineStr">
        <is>
          <t>axiom</t>
        </is>
      </c>
      <c r="S53" s="2" t="n"/>
      <c r="U53" s="2" t="n">
        <v>51</v>
      </c>
    </row>
    <row r="54">
      <c r="A54" s="2" t="inlineStr">
        <is>
          <t>7y5aRdzh5ZBYDhM4qKBwXzUUjKBSBperbrgWiE7AoAHG</t>
        </is>
      </c>
      <c r="B54" s="2" t="n"/>
      <c r="C54" s="2">
        <f>COUNT(E54:G54)</f>
        <v/>
      </c>
      <c r="D54" s="2" t="inlineStr">
        <is>
          <t>SolanaTracker</t>
        </is>
      </c>
      <c r="E54" s="2" t="n"/>
      <c r="F54" s="2" t="n">
        <v>51</v>
      </c>
      <c r="G54" s="2" t="n"/>
      <c r="H54" s="8" t="n"/>
      <c r="I54" s="8" t="n">
        <v>647.58</v>
      </c>
      <c r="J54" s="8" t="n"/>
      <c r="K54" s="8">
        <f>IF(COUNT(H54:J54)&gt;=2,MAX(H54:J54)-MIN(H54:J54),"")</f>
        <v/>
      </c>
      <c r="L54" s="9">
        <f>IF(ISNUMBER(K54),IF(MAX(ABS(MAX(H54:J54)),ABS(MIN(H54:J54)))=0,"",K54/MAX(ABS(MAX(H54:J54)),ABS(MIN(H54:J54)))),"")</f>
        <v/>
      </c>
      <c r="M54" s="2">
        <f>IF(AND(ISNUMBER(K54),ISNUMBER(L54)),IF(AND(K54&gt;=Ringkasan!$B$10,L54&gt;=Ringkasan!$B$11),"yes",""),"")</f>
        <v/>
      </c>
      <c r="N54" s="2" t="inlineStr">
        <is>
          <t>SolanaTracker</t>
        </is>
      </c>
      <c r="O54" s="2" t="n"/>
      <c r="Q54" s="2" t="n"/>
      <c r="S54" s="2" t="n"/>
      <c r="U54" s="2" t="n">
        <v>52</v>
      </c>
    </row>
    <row r="55">
      <c r="A55" s="2" t="inlineStr">
        <is>
          <t>6MkqQcHN2oWGPDzA5dz8bnsGKvjHtWPd1tunZqgLLWMa</t>
        </is>
      </c>
      <c r="B55" s="2" t="inlineStr">
        <is>
          <t>fauni</t>
        </is>
      </c>
      <c r="C55" s="2">
        <f>COUNT(E55:G55)</f>
        <v/>
      </c>
      <c r="D55" s="2" t="inlineStr">
        <is>
          <t>SolanaTracker</t>
        </is>
      </c>
      <c r="E55" s="2" t="n"/>
      <c r="F55" s="2" t="n">
        <v>52</v>
      </c>
      <c r="G55" s="2" t="n"/>
      <c r="H55" s="8" t="n"/>
      <c r="I55" s="8" t="n">
        <v>634.12</v>
      </c>
      <c r="J55" s="8" t="n"/>
      <c r="K55" s="8">
        <f>IF(COUNT(H55:J55)&gt;=2,MAX(H55:J55)-MIN(H55:J55),"")</f>
        <v/>
      </c>
      <c r="L55" s="9">
        <f>IF(ISNUMBER(K55),IF(MAX(ABS(MAX(H55:J55)),ABS(MIN(H55:J55)))=0,"",K55/MAX(ABS(MAX(H55:J55)),ABS(MIN(H55:J55)))),"")</f>
        <v/>
      </c>
      <c r="M55" s="2">
        <f>IF(AND(ISNUMBER(K55),ISNUMBER(L55)),IF(AND(K55&gt;=Ringkasan!$B$10,L55&gt;=Ringkasan!$B$11),"yes",""),"")</f>
        <v/>
      </c>
      <c r="N55" s="2" t="inlineStr">
        <is>
          <t>SolanaTracker</t>
        </is>
      </c>
      <c r="O55" s="2" t="n"/>
      <c r="Q55" s="2" t="inlineStr">
        <is>
          <t>axiom; fomo</t>
        </is>
      </c>
      <c r="S55" s="2" t="n"/>
      <c r="U55" s="2" t="n">
        <v>53</v>
      </c>
    </row>
    <row r="56">
      <c r="A56" s="2" t="inlineStr">
        <is>
          <t>6n6cYoZbfnHgJfvhyJ56tq7Zk8E7iN3PiyTGCu57LgL2</t>
        </is>
      </c>
      <c r="B56" s="2" t="n"/>
      <c r="C56" s="2">
        <f>COUNT(E56:G56)</f>
        <v/>
      </c>
      <c r="D56" s="2" t="inlineStr">
        <is>
          <t>SolanaTracker</t>
        </is>
      </c>
      <c r="E56" s="2" t="n"/>
      <c r="F56" s="2" t="n">
        <v>53</v>
      </c>
      <c r="G56" s="2" t="n"/>
      <c r="H56" s="8" t="n"/>
      <c r="I56" s="8" t="n">
        <v>631.3200000000001</v>
      </c>
      <c r="J56" s="8" t="n"/>
      <c r="K56" s="8">
        <f>IF(COUNT(H56:J56)&gt;=2,MAX(H56:J56)-MIN(H56:J56),"")</f>
        <v/>
      </c>
      <c r="L56" s="9">
        <f>IF(ISNUMBER(K56),IF(MAX(ABS(MAX(H56:J56)),ABS(MIN(H56:J56)))=0,"",K56/MAX(ABS(MAX(H56:J56)),ABS(MIN(H56:J56)))),"")</f>
        <v/>
      </c>
      <c r="M56" s="2">
        <f>IF(AND(ISNUMBER(K56),ISNUMBER(L56)),IF(AND(K56&gt;=Ringkasan!$B$10,L56&gt;=Ringkasan!$B$11),"yes",""),"")</f>
        <v/>
      </c>
      <c r="N56" s="2" t="inlineStr">
        <is>
          <t>SolanaTracker</t>
        </is>
      </c>
      <c r="O56" s="2" t="n"/>
      <c r="Q56" s="2" t="inlineStr">
        <is>
          <t>axiom</t>
        </is>
      </c>
      <c r="S56" s="2" t="n"/>
      <c r="U56" s="2" t="n">
        <v>54</v>
      </c>
    </row>
    <row r="57">
      <c r="A57" s="2" t="inlineStr">
        <is>
          <t>3UK7T6LtFxSycQfKQDd7A69pwYwmjZWB5XaRGX59zhNo</t>
        </is>
      </c>
      <c r="B57" s="2" t="n"/>
      <c r="C57" s="2">
        <f>COUNT(E57:G57)</f>
        <v/>
      </c>
      <c r="D57" s="2" t="inlineStr">
        <is>
          <t>SolanaTracker</t>
        </is>
      </c>
      <c r="E57" s="2" t="n"/>
      <c r="F57" s="2" t="n">
        <v>54</v>
      </c>
      <c r="G57" s="2" t="n"/>
      <c r="H57" s="8" t="n"/>
      <c r="I57" s="8" t="n">
        <v>630.6</v>
      </c>
      <c r="J57" s="8" t="n"/>
      <c r="K57" s="8">
        <f>IF(COUNT(H57:J57)&gt;=2,MAX(H57:J57)-MIN(H57:J57),"")</f>
        <v/>
      </c>
      <c r="L57" s="9">
        <f>IF(ISNUMBER(K57),IF(MAX(ABS(MAX(H57:J57)),ABS(MIN(H57:J57)))=0,"",K57/MAX(ABS(MAX(H57:J57)),ABS(MIN(H57:J57)))),"")</f>
        <v/>
      </c>
      <c r="M57" s="2">
        <f>IF(AND(ISNUMBER(K57),ISNUMBER(L57)),IF(AND(K57&gt;=Ringkasan!$B$10,L57&gt;=Ringkasan!$B$11),"yes",""),"")</f>
        <v/>
      </c>
      <c r="N57" s="2" t="inlineStr">
        <is>
          <t>SolanaTracker</t>
        </is>
      </c>
      <c r="O57" s="2" t="n"/>
      <c r="Q57" s="2" t="inlineStr">
        <is>
          <t>axiom</t>
        </is>
      </c>
      <c r="S57" s="2" t="n"/>
      <c r="U57" s="2" t="n">
        <v>55</v>
      </c>
    </row>
    <row r="58">
      <c r="A58" s="2" t="inlineStr">
        <is>
          <t>B5NtdZhwE5irJJigz5frVja7iDy1PDzsre9ii6mY697Y</t>
        </is>
      </c>
      <c r="B58" s="2" t="n"/>
      <c r="C58" s="2">
        <f>COUNT(E58:G58)</f>
        <v/>
      </c>
      <c r="D58" s="2" t="inlineStr">
        <is>
          <t>SolanaTracker</t>
        </is>
      </c>
      <c r="E58" s="2" t="n"/>
      <c r="F58" s="2" t="n">
        <v>55</v>
      </c>
      <c r="G58" s="2" t="n"/>
      <c r="H58" s="8" t="n"/>
      <c r="I58" s="8" t="n">
        <v>626.46</v>
      </c>
      <c r="J58" s="8" t="n"/>
      <c r="K58" s="8">
        <f>IF(COUNT(H58:J58)&gt;=2,MAX(H58:J58)-MIN(H58:J58),"")</f>
        <v/>
      </c>
      <c r="L58" s="9">
        <f>IF(ISNUMBER(K58),IF(MAX(ABS(MAX(H58:J58)),ABS(MIN(H58:J58)))=0,"",K58/MAX(ABS(MAX(H58:J58)),ABS(MIN(H58:J58)))),"")</f>
        <v/>
      </c>
      <c r="M58" s="2">
        <f>IF(AND(ISNUMBER(K58),ISNUMBER(L58)),IF(AND(K58&gt;=Ringkasan!$B$10,L58&gt;=Ringkasan!$B$11),"yes",""),"")</f>
        <v/>
      </c>
      <c r="N58" s="2" t="inlineStr">
        <is>
          <t>SolanaTracker</t>
        </is>
      </c>
      <c r="O58" s="2" t="n"/>
      <c r="Q58" s="2" t="inlineStr">
        <is>
          <t>potential_bot</t>
        </is>
      </c>
      <c r="S58" s="2" t="n"/>
      <c r="U58" s="2" t="n">
        <v>56</v>
      </c>
    </row>
    <row r="59">
      <c r="A59" s="2" t="inlineStr">
        <is>
          <t>CN5Yh3q2t8aEPVmU1CzJPpXbKCUGWFkVcThAystXUBbb</t>
        </is>
      </c>
      <c r="B59" s="2" t="n"/>
      <c r="C59" s="2">
        <f>COUNT(E59:G59)</f>
        <v/>
      </c>
      <c r="D59" s="2" t="inlineStr">
        <is>
          <t>SolanaTracker</t>
        </is>
      </c>
      <c r="E59" s="2" t="n"/>
      <c r="F59" s="2" t="n">
        <v>56</v>
      </c>
      <c r="G59" s="2" t="n"/>
      <c r="H59" s="8" t="n"/>
      <c r="I59" s="8" t="n">
        <v>625.23</v>
      </c>
      <c r="J59" s="8" t="n"/>
      <c r="K59" s="8">
        <f>IF(COUNT(H59:J59)&gt;=2,MAX(H59:J59)-MIN(H59:J59),"")</f>
        <v/>
      </c>
      <c r="L59" s="9">
        <f>IF(ISNUMBER(K59),IF(MAX(ABS(MAX(H59:J59)),ABS(MIN(H59:J59)))=0,"",K59/MAX(ABS(MAX(H59:J59)),ABS(MIN(H59:J59)))),"")</f>
        <v/>
      </c>
      <c r="M59" s="2">
        <f>IF(AND(ISNUMBER(K59),ISNUMBER(L59)),IF(AND(K59&gt;=Ringkasan!$B$10,L59&gt;=Ringkasan!$B$11),"yes",""),"")</f>
        <v/>
      </c>
      <c r="N59" s="2" t="inlineStr">
        <is>
          <t>SolanaTracker</t>
        </is>
      </c>
      <c r="O59" s="2" t="n"/>
      <c r="Q59" s="2" t="n"/>
      <c r="S59" s="2" t="n"/>
      <c r="U59" s="2" t="n">
        <v>57</v>
      </c>
    </row>
    <row r="60">
      <c r="A60" s="2" t="inlineStr">
        <is>
          <t>99uJVmH5msDTC2yfvNiMwLSiFtFkvNxCXmosV1MGnLY</t>
        </is>
      </c>
      <c r="B60" s="2" t="n"/>
      <c r="C60" s="2">
        <f>COUNT(E60:G60)</f>
        <v/>
      </c>
      <c r="D60" s="2" t="inlineStr">
        <is>
          <t>SolanaTracker</t>
        </is>
      </c>
      <c r="E60" s="2" t="n"/>
      <c r="F60" s="2" t="n">
        <v>57</v>
      </c>
      <c r="G60" s="2" t="n"/>
      <c r="H60" s="8" t="n"/>
      <c r="I60" s="8" t="n">
        <v>604.96</v>
      </c>
      <c r="J60" s="8" t="n"/>
      <c r="K60" s="8">
        <f>IF(COUNT(H60:J60)&gt;=2,MAX(H60:J60)-MIN(H60:J60),"")</f>
        <v/>
      </c>
      <c r="L60" s="9">
        <f>IF(ISNUMBER(K60),IF(MAX(ABS(MAX(H60:J60)),ABS(MIN(H60:J60)))=0,"",K60/MAX(ABS(MAX(H60:J60)),ABS(MIN(H60:J60)))),"")</f>
        <v/>
      </c>
      <c r="M60" s="2">
        <f>IF(AND(ISNUMBER(K60),ISNUMBER(L60)),IF(AND(K60&gt;=Ringkasan!$B$10,L60&gt;=Ringkasan!$B$11),"yes",""),"")</f>
        <v/>
      </c>
      <c r="N60" s="2" t="inlineStr">
        <is>
          <t>SolanaTracker</t>
        </is>
      </c>
      <c r="O60" s="2" t="n"/>
      <c r="Q60" s="2" t="inlineStr">
        <is>
          <t>axiom</t>
        </is>
      </c>
      <c r="S60" s="2" t="n"/>
      <c r="U60" s="2" t="n">
        <v>58</v>
      </c>
    </row>
    <row r="61">
      <c r="A61" s="2" t="inlineStr">
        <is>
          <t>B4JjCFtnEw7auYY28x2zkCRHaLCD8JRVnai8nh6taDud</t>
        </is>
      </c>
      <c r="B61" s="2" t="n"/>
      <c r="C61" s="2">
        <f>COUNT(E61:G61)</f>
        <v/>
      </c>
      <c r="D61" s="2" t="inlineStr">
        <is>
          <t>SolanaTracker</t>
        </is>
      </c>
      <c r="E61" s="2" t="n"/>
      <c r="F61" s="2" t="n">
        <v>58</v>
      </c>
      <c r="G61" s="2" t="n"/>
      <c r="H61" s="8" t="n"/>
      <c r="I61" s="8" t="n">
        <v>600.75</v>
      </c>
      <c r="J61" s="8" t="n"/>
      <c r="K61" s="8">
        <f>IF(COUNT(H61:J61)&gt;=2,MAX(H61:J61)-MIN(H61:J61),"")</f>
        <v/>
      </c>
      <c r="L61" s="9">
        <f>IF(ISNUMBER(K61),IF(MAX(ABS(MAX(H61:J61)),ABS(MIN(H61:J61)))=0,"",K61/MAX(ABS(MAX(H61:J61)),ABS(MIN(H61:J61)))),"")</f>
        <v/>
      </c>
      <c r="M61" s="2">
        <f>IF(AND(ISNUMBER(K61),ISNUMBER(L61)),IF(AND(K61&gt;=Ringkasan!$B$10,L61&gt;=Ringkasan!$B$11),"yes",""),"")</f>
        <v/>
      </c>
      <c r="N61" s="2" t="inlineStr">
        <is>
          <t>SolanaTracker</t>
        </is>
      </c>
      <c r="O61" s="2" t="n"/>
      <c r="Q61" s="2" t="n"/>
      <c r="S61" s="2" t="n"/>
      <c r="U61" s="2" t="n">
        <v>59</v>
      </c>
    </row>
    <row r="62">
      <c r="A62" s="2" t="inlineStr">
        <is>
          <t>9bCKedAfVvpPeepsXAdq4DnW82rrLNnwEKv4AUaUHq1L</t>
        </is>
      </c>
      <c r="B62" s="2" t="inlineStr">
        <is>
          <t>November1221</t>
        </is>
      </c>
      <c r="C62" s="2">
        <f>COUNT(E62:G62)</f>
        <v/>
      </c>
      <c r="D62" s="2" t="inlineStr">
        <is>
          <t>SolanaTracker</t>
        </is>
      </c>
      <c r="E62" s="2" t="n"/>
      <c r="F62" s="2" t="n">
        <v>59</v>
      </c>
      <c r="G62" s="2" t="n"/>
      <c r="H62" s="8" t="n"/>
      <c r="I62" s="8" t="n">
        <v>599.45</v>
      </c>
      <c r="J62" s="8" t="n"/>
      <c r="K62" s="8">
        <f>IF(COUNT(H62:J62)&gt;=2,MAX(H62:J62)-MIN(H62:J62),"")</f>
        <v/>
      </c>
      <c r="L62" s="9">
        <f>IF(ISNUMBER(K62),IF(MAX(ABS(MAX(H62:J62)),ABS(MIN(H62:J62)))=0,"",K62/MAX(ABS(MAX(H62:J62)),ABS(MIN(H62:J62)))),"")</f>
        <v/>
      </c>
      <c r="M62" s="2">
        <f>IF(AND(ISNUMBER(K62),ISNUMBER(L62)),IF(AND(K62&gt;=Ringkasan!$B$10,L62&gt;=Ringkasan!$B$11),"yes",""),"")</f>
        <v/>
      </c>
      <c r="N62" s="2" t="inlineStr">
        <is>
          <t>SolanaTracker</t>
        </is>
      </c>
      <c r="O62" s="2" t="n"/>
      <c r="Q62" s="2" t="inlineStr">
        <is>
          <t>pumpfun-app</t>
        </is>
      </c>
      <c r="S62" s="2" t="n"/>
      <c r="U62" s="2" t="n">
        <v>60</v>
      </c>
    </row>
    <row r="63">
      <c r="A63" s="2" t="inlineStr">
        <is>
          <t>2ryDUcDr36jptBB2MLTyNS9GqrZrmpmLqNpEKASueLcX</t>
        </is>
      </c>
      <c r="B63" s="2" t="inlineStr">
        <is>
          <t>MRPOKEMON</t>
        </is>
      </c>
      <c r="C63" s="2">
        <f>COUNT(E63:G63)</f>
        <v/>
      </c>
      <c r="D63" s="2" t="inlineStr">
        <is>
          <t>SolanaTracker</t>
        </is>
      </c>
      <c r="E63" s="2" t="n"/>
      <c r="F63" s="2" t="n">
        <v>60</v>
      </c>
      <c r="G63" s="2" t="n"/>
      <c r="H63" s="8" t="n"/>
      <c r="I63" s="8" t="n">
        <v>598.28</v>
      </c>
      <c r="J63" s="8" t="n"/>
      <c r="K63" s="8">
        <f>IF(COUNT(H63:J63)&gt;=2,MAX(H63:J63)-MIN(H63:J63),"")</f>
        <v/>
      </c>
      <c r="L63" s="9">
        <f>IF(ISNUMBER(K63),IF(MAX(ABS(MAX(H63:J63)),ABS(MIN(H63:J63)))=0,"",K63/MAX(ABS(MAX(H63:J63)),ABS(MIN(H63:J63)))),"")</f>
        <v/>
      </c>
      <c r="M63" s="2">
        <f>IF(AND(ISNUMBER(K63),ISNUMBER(L63)),IF(AND(K63&gt;=Ringkasan!$B$10,L63&gt;=Ringkasan!$B$11),"yes",""),"")</f>
        <v/>
      </c>
      <c r="N63" s="2" t="inlineStr">
        <is>
          <t>SolanaTracker</t>
        </is>
      </c>
      <c r="O63" s="2" t="n"/>
      <c r="Q63" s="2" t="inlineStr">
        <is>
          <t>fomo</t>
        </is>
      </c>
      <c r="S63" s="2" t="n"/>
      <c r="U63" s="2" t="n">
        <v>61</v>
      </c>
    </row>
    <row r="64">
      <c r="A64" s="2" t="inlineStr">
        <is>
          <t>J2GyrXgaqF4Z7kBXd8eAQZ3TSepNkSfDAW24jHuzobcV</t>
        </is>
      </c>
      <c r="B64" s="2" t="n"/>
      <c r="C64" s="2">
        <f>COUNT(E64:G64)</f>
        <v/>
      </c>
      <c r="D64" s="2" t="inlineStr">
        <is>
          <t>SolanaTracker</t>
        </is>
      </c>
      <c r="E64" s="2" t="n"/>
      <c r="F64" s="2" t="n">
        <v>61</v>
      </c>
      <c r="G64" s="2" t="n"/>
      <c r="H64" s="8" t="n"/>
      <c r="I64" s="8" t="n">
        <v>586.42</v>
      </c>
      <c r="J64" s="8" t="n"/>
      <c r="K64" s="8">
        <f>IF(COUNT(H64:J64)&gt;=2,MAX(H64:J64)-MIN(H64:J64),"")</f>
        <v/>
      </c>
      <c r="L64" s="9">
        <f>IF(ISNUMBER(K64),IF(MAX(ABS(MAX(H64:J64)),ABS(MIN(H64:J64)))=0,"",K64/MAX(ABS(MAX(H64:J64)),ABS(MIN(H64:J64)))),"")</f>
        <v/>
      </c>
      <c r="M64" s="2">
        <f>IF(AND(ISNUMBER(K64),ISNUMBER(L64)),IF(AND(K64&gt;=Ringkasan!$B$10,L64&gt;=Ringkasan!$B$11),"yes",""),"")</f>
        <v/>
      </c>
      <c r="N64" s="2" t="inlineStr">
        <is>
          <t>SolanaTracker</t>
        </is>
      </c>
      <c r="O64" s="2" t="n"/>
      <c r="Q64" s="2" t="inlineStr">
        <is>
          <t>axiom</t>
        </is>
      </c>
      <c r="S64" s="2" t="n"/>
      <c r="U64" s="2" t="n">
        <v>62</v>
      </c>
    </row>
    <row r="65">
      <c r="A65" s="2" t="inlineStr">
        <is>
          <t>Frgw6RGZCMvRAggUbG94YrJTimqY9tQV11Rw19XXKvs9</t>
        </is>
      </c>
      <c r="B65" s="2" t="inlineStr">
        <is>
          <t>MrLaFleur</t>
        </is>
      </c>
      <c r="C65" s="2">
        <f>COUNT(E65:G65)</f>
        <v/>
      </c>
      <c r="D65" s="2" t="inlineStr">
        <is>
          <t>SolanaTracker</t>
        </is>
      </c>
      <c r="E65" s="2" t="n"/>
      <c r="F65" s="2" t="n">
        <v>62</v>
      </c>
      <c r="G65" s="2" t="n"/>
      <c r="H65" s="8" t="n"/>
      <c r="I65" s="8" t="n">
        <v>578.55</v>
      </c>
      <c r="J65" s="8" t="n"/>
      <c r="K65" s="8">
        <f>IF(COUNT(H65:J65)&gt;=2,MAX(H65:J65)-MIN(H65:J65),"")</f>
        <v/>
      </c>
      <c r="L65" s="9">
        <f>IF(ISNUMBER(K65),IF(MAX(ABS(MAX(H65:J65)),ABS(MIN(H65:J65)))=0,"",K65/MAX(ABS(MAX(H65:J65)),ABS(MIN(H65:J65)))),"")</f>
        <v/>
      </c>
      <c r="M65" s="2">
        <f>IF(AND(ISNUMBER(K65),ISNUMBER(L65)),IF(AND(K65&gt;=Ringkasan!$B$10,L65&gt;=Ringkasan!$B$11),"yes",""),"")</f>
        <v/>
      </c>
      <c r="N65" s="2" t="inlineStr">
        <is>
          <t>SolanaTracker</t>
        </is>
      </c>
      <c r="O65" s="2" t="n"/>
      <c r="Q65" s="2" t="inlineStr">
        <is>
          <t>fomo</t>
        </is>
      </c>
      <c r="S65" s="2" t="n"/>
      <c r="U65" s="2" t="n">
        <v>63</v>
      </c>
    </row>
    <row r="66">
      <c r="A66" s="2" t="inlineStr">
        <is>
          <t>87bEQ9JEEPp3GZKKk9Y2h1uw9Lw4UUAyyrXV5wEHGNLR</t>
        </is>
      </c>
      <c r="B66" s="2" t="n"/>
      <c r="C66" s="2">
        <f>COUNT(E66:G66)</f>
        <v/>
      </c>
      <c r="D66" s="2" t="inlineStr">
        <is>
          <t>SolanaTracker</t>
        </is>
      </c>
      <c r="E66" s="2" t="n"/>
      <c r="F66" s="2" t="n">
        <v>63</v>
      </c>
      <c r="G66" s="2" t="n"/>
      <c r="H66" s="8" t="n"/>
      <c r="I66" s="8" t="n">
        <v>571.22</v>
      </c>
      <c r="J66" s="8" t="n"/>
      <c r="K66" s="8">
        <f>IF(COUNT(H66:J66)&gt;=2,MAX(H66:J66)-MIN(H66:J66),"")</f>
        <v/>
      </c>
      <c r="L66" s="9">
        <f>IF(ISNUMBER(K66),IF(MAX(ABS(MAX(H66:J66)),ABS(MIN(H66:J66)))=0,"",K66/MAX(ABS(MAX(H66:J66)),ABS(MIN(H66:J66)))),"")</f>
        <v/>
      </c>
      <c r="M66" s="2">
        <f>IF(AND(ISNUMBER(K66),ISNUMBER(L66)),IF(AND(K66&gt;=Ringkasan!$B$10,L66&gt;=Ringkasan!$B$11),"yes",""),"")</f>
        <v/>
      </c>
      <c r="N66" s="2" t="inlineStr">
        <is>
          <t>SolanaTracker</t>
        </is>
      </c>
      <c r="O66" s="2" t="n"/>
      <c r="Q66" s="2" t="inlineStr">
        <is>
          <t>potential_bot</t>
        </is>
      </c>
      <c r="S66" s="2" t="n"/>
      <c r="U66" s="2" t="n">
        <v>64</v>
      </c>
    </row>
    <row r="67">
      <c r="A67" s="2" t="inlineStr">
        <is>
          <t>FehDPJwU9mAVmv2epKLWNwHBV7bCSBSNCzMmWhmjv6Ce</t>
        </is>
      </c>
      <c r="B67" s="2" t="n"/>
      <c r="C67" s="2">
        <f>COUNT(E67:G67)</f>
        <v/>
      </c>
      <c r="D67" s="2" t="inlineStr">
        <is>
          <t>SolanaTracker</t>
        </is>
      </c>
      <c r="E67" s="2" t="n"/>
      <c r="F67" s="2" t="n">
        <v>64</v>
      </c>
      <c r="G67" s="2" t="n"/>
      <c r="H67" s="8" t="n"/>
      <c r="I67" s="8" t="n">
        <v>566.3099999999999</v>
      </c>
      <c r="J67" s="8" t="n"/>
      <c r="K67" s="8">
        <f>IF(COUNT(H67:J67)&gt;=2,MAX(H67:J67)-MIN(H67:J67),"")</f>
        <v/>
      </c>
      <c r="L67" s="9">
        <f>IF(ISNUMBER(K67),IF(MAX(ABS(MAX(H67:J67)),ABS(MIN(H67:J67)))=0,"",K67/MAX(ABS(MAX(H67:J67)),ABS(MIN(H67:J67)))),"")</f>
        <v/>
      </c>
      <c r="M67" s="2">
        <f>IF(AND(ISNUMBER(K67),ISNUMBER(L67)),IF(AND(K67&gt;=Ringkasan!$B$10,L67&gt;=Ringkasan!$B$11),"yes",""),"")</f>
        <v/>
      </c>
      <c r="N67" s="2" t="inlineStr">
        <is>
          <t>SolanaTracker</t>
        </is>
      </c>
      <c r="O67" s="2" t="n"/>
      <c r="Q67" s="2" t="inlineStr">
        <is>
          <t>potential_bot</t>
        </is>
      </c>
      <c r="S67" s="2" t="n"/>
      <c r="U67" s="2" t="n">
        <v>65</v>
      </c>
    </row>
    <row r="68">
      <c r="A68" s="2" t="inlineStr">
        <is>
          <t>72tAZjqymv4J2KHDPd3rzFkPL78tj556K32BJgBmBu5D</t>
        </is>
      </c>
      <c r="B68" s="2" t="n"/>
      <c r="C68" s="2">
        <f>COUNT(E68:G68)</f>
        <v/>
      </c>
      <c r="D68" s="2" t="inlineStr">
        <is>
          <t>SolanaTracker</t>
        </is>
      </c>
      <c r="E68" s="2" t="n"/>
      <c r="F68" s="2" t="n">
        <v>65</v>
      </c>
      <c r="G68" s="2" t="n"/>
      <c r="H68" s="8" t="n"/>
      <c r="I68" s="8" t="n">
        <v>565.25</v>
      </c>
      <c r="J68" s="8" t="n"/>
      <c r="K68" s="8">
        <f>IF(COUNT(H68:J68)&gt;=2,MAX(H68:J68)-MIN(H68:J68),"")</f>
        <v/>
      </c>
      <c r="L68" s="9">
        <f>IF(ISNUMBER(K68),IF(MAX(ABS(MAX(H68:J68)),ABS(MIN(H68:J68)))=0,"",K68/MAX(ABS(MAX(H68:J68)),ABS(MIN(H68:J68)))),"")</f>
        <v/>
      </c>
      <c r="M68" s="2">
        <f>IF(AND(ISNUMBER(K68),ISNUMBER(L68)),IF(AND(K68&gt;=Ringkasan!$B$10,L68&gt;=Ringkasan!$B$11),"yes",""),"")</f>
        <v/>
      </c>
      <c r="N68" s="2" t="inlineStr">
        <is>
          <t>SolanaTracker</t>
        </is>
      </c>
      <c r="O68" s="2" t="n"/>
      <c r="Q68" s="2" t="n"/>
      <c r="S68" s="2" t="n"/>
      <c r="U68" s="2" t="n">
        <v>66</v>
      </c>
    </row>
    <row r="69">
      <c r="A69" s="2" t="inlineStr">
        <is>
          <t>BEvw9mQbfQwbnQKy4XJQuxDbADuJMAhKaUVtdjj4fz8N</t>
        </is>
      </c>
      <c r="B69" s="2" t="n"/>
      <c r="C69" s="2">
        <f>COUNT(E69:G69)</f>
        <v/>
      </c>
      <c r="D69" s="2" t="inlineStr">
        <is>
          <t>SolanaTracker</t>
        </is>
      </c>
      <c r="E69" s="2" t="n"/>
      <c r="F69" s="2" t="n">
        <v>66</v>
      </c>
      <c r="G69" s="2" t="n"/>
      <c r="H69" s="8" t="n"/>
      <c r="I69" s="8" t="n">
        <v>560.24</v>
      </c>
      <c r="J69" s="8" t="n"/>
      <c r="K69" s="8">
        <f>IF(COUNT(H69:J69)&gt;=2,MAX(H69:J69)-MIN(H69:J69),"")</f>
        <v/>
      </c>
      <c r="L69" s="9">
        <f>IF(ISNUMBER(K69),IF(MAX(ABS(MAX(H69:J69)),ABS(MIN(H69:J69)))=0,"",K69/MAX(ABS(MAX(H69:J69)),ABS(MIN(H69:J69)))),"")</f>
        <v/>
      </c>
      <c r="M69" s="2">
        <f>IF(AND(ISNUMBER(K69),ISNUMBER(L69)),IF(AND(K69&gt;=Ringkasan!$B$10,L69&gt;=Ringkasan!$B$11),"yes",""),"")</f>
        <v/>
      </c>
      <c r="N69" s="2" t="inlineStr">
        <is>
          <t>SolanaTracker</t>
        </is>
      </c>
      <c r="O69" s="2" t="n"/>
      <c r="Q69" s="2" t="n"/>
      <c r="S69" s="2" t="n"/>
      <c r="U69" s="2" t="n">
        <v>67</v>
      </c>
    </row>
    <row r="70">
      <c r="A70" s="2" t="inlineStr">
        <is>
          <t>CXFFCxU4WvMqwcckUosKPyoejYriPwFn4PpEAvnpDnSq</t>
        </is>
      </c>
      <c r="B70" s="2" t="n"/>
      <c r="C70" s="2">
        <f>COUNT(E70:G70)</f>
        <v/>
      </c>
      <c r="D70" s="2" t="inlineStr">
        <is>
          <t>SolanaTracker</t>
        </is>
      </c>
      <c r="E70" s="2" t="n"/>
      <c r="F70" s="2" t="n">
        <v>67</v>
      </c>
      <c r="G70" s="2" t="n"/>
      <c r="H70" s="8" t="n"/>
      <c r="I70" s="8" t="n">
        <v>557.42</v>
      </c>
      <c r="J70" s="8" t="n"/>
      <c r="K70" s="8">
        <f>IF(COUNT(H70:J70)&gt;=2,MAX(H70:J70)-MIN(H70:J70),"")</f>
        <v/>
      </c>
      <c r="L70" s="9">
        <f>IF(ISNUMBER(K70),IF(MAX(ABS(MAX(H70:J70)),ABS(MIN(H70:J70)))=0,"",K70/MAX(ABS(MAX(H70:J70)),ABS(MIN(H70:J70)))),"")</f>
        <v/>
      </c>
      <c r="M70" s="2">
        <f>IF(AND(ISNUMBER(K70),ISNUMBER(L70)),IF(AND(K70&gt;=Ringkasan!$B$10,L70&gt;=Ringkasan!$B$11),"yes",""),"")</f>
        <v/>
      </c>
      <c r="N70" s="2" t="inlineStr">
        <is>
          <t>SolanaTracker</t>
        </is>
      </c>
      <c r="O70" s="2" t="n"/>
      <c r="Q70" s="2" t="inlineStr">
        <is>
          <t>gmgn</t>
        </is>
      </c>
      <c r="S70" s="2" t="n"/>
      <c r="U70" s="2" t="n">
        <v>68</v>
      </c>
    </row>
    <row r="71">
      <c r="A71" s="2" t="inlineStr">
        <is>
          <t>DCKddL7QCbB3VbghBkahHLWCt8jjKJLWLim2LJtA9p36</t>
        </is>
      </c>
      <c r="B71" s="2" t="n"/>
      <c r="C71" s="2">
        <f>COUNT(E71:G71)</f>
        <v/>
      </c>
      <c r="D71" s="2" t="inlineStr">
        <is>
          <t>SolanaTracker</t>
        </is>
      </c>
      <c r="E71" s="2" t="n"/>
      <c r="F71" s="2" t="n">
        <v>68</v>
      </c>
      <c r="G71" s="2" t="n"/>
      <c r="H71" s="8" t="n"/>
      <c r="I71" s="8" t="n">
        <v>544.96</v>
      </c>
      <c r="J71" s="8" t="n"/>
      <c r="K71" s="8">
        <f>IF(COUNT(H71:J71)&gt;=2,MAX(H71:J71)-MIN(H71:J71),"")</f>
        <v/>
      </c>
      <c r="L71" s="9">
        <f>IF(ISNUMBER(K71),IF(MAX(ABS(MAX(H71:J71)),ABS(MIN(H71:J71)))=0,"",K71/MAX(ABS(MAX(H71:J71)),ABS(MIN(H71:J71)))),"")</f>
        <v/>
      </c>
      <c r="M71" s="2">
        <f>IF(AND(ISNUMBER(K71),ISNUMBER(L71)),IF(AND(K71&gt;=Ringkasan!$B$10,L71&gt;=Ringkasan!$B$11),"yes",""),"")</f>
        <v/>
      </c>
      <c r="N71" s="2" t="inlineStr">
        <is>
          <t>SolanaTracker</t>
        </is>
      </c>
      <c r="O71" s="2" t="n"/>
      <c r="Q71" s="2" t="inlineStr">
        <is>
          <t>axiom</t>
        </is>
      </c>
      <c r="S71" s="2" t="n"/>
      <c r="U71" s="2" t="n">
        <v>69</v>
      </c>
    </row>
    <row r="72">
      <c r="A72" s="2" t="inlineStr">
        <is>
          <t>7BNaxx6KdUYrjACNQZ9He26NBFoFxujQMAfNLnArLGH5</t>
        </is>
      </c>
      <c r="B72" s="2" t="n"/>
      <c r="C72" s="2">
        <f>COUNT(E72:G72)</f>
        <v/>
      </c>
      <c r="D72" s="2" t="inlineStr">
        <is>
          <t>SolanaTracker</t>
        </is>
      </c>
      <c r="E72" s="2" t="n"/>
      <c r="F72" s="2" t="n">
        <v>69</v>
      </c>
      <c r="G72" s="2" t="n"/>
      <c r="H72" s="8" t="n"/>
      <c r="I72" s="8" t="n">
        <v>537.08</v>
      </c>
      <c r="J72" s="8" t="n"/>
      <c r="K72" s="8">
        <f>IF(COUNT(H72:J72)&gt;=2,MAX(H72:J72)-MIN(H72:J72),"")</f>
        <v/>
      </c>
      <c r="L72" s="9">
        <f>IF(ISNUMBER(K72),IF(MAX(ABS(MAX(H72:J72)),ABS(MIN(H72:J72)))=0,"",K72/MAX(ABS(MAX(H72:J72)),ABS(MIN(H72:J72)))),"")</f>
        <v/>
      </c>
      <c r="M72" s="2">
        <f>IF(AND(ISNUMBER(K72),ISNUMBER(L72)),IF(AND(K72&gt;=Ringkasan!$B$10,L72&gt;=Ringkasan!$B$11),"yes",""),"")</f>
        <v/>
      </c>
      <c r="N72" s="2" t="inlineStr">
        <is>
          <t>SolanaTracker</t>
        </is>
      </c>
      <c r="O72" s="2" t="n"/>
      <c r="Q72" s="2" t="n"/>
      <c r="S72" s="2" t="n"/>
      <c r="U72" s="2" t="n">
        <v>70</v>
      </c>
    </row>
    <row r="73">
      <c r="A73" s="2" t="inlineStr">
        <is>
          <t>99Q2ZBYnzaHziqcb7RL88L4vejfmJsVazNbhB38Xte3J</t>
        </is>
      </c>
      <c r="B73" s="2" t="n"/>
      <c r="C73" s="2">
        <f>COUNT(E73:G73)</f>
        <v/>
      </c>
      <c r="D73" s="2" t="inlineStr">
        <is>
          <t>SolanaTracker</t>
        </is>
      </c>
      <c r="E73" s="2" t="n"/>
      <c r="F73" s="2" t="n">
        <v>70</v>
      </c>
      <c r="G73" s="2" t="n"/>
      <c r="H73" s="8" t="n"/>
      <c r="I73" s="8" t="n">
        <v>535.02</v>
      </c>
      <c r="J73" s="8" t="n"/>
      <c r="K73" s="8">
        <f>IF(COUNT(H73:J73)&gt;=2,MAX(H73:J73)-MIN(H73:J73),"")</f>
        <v/>
      </c>
      <c r="L73" s="9">
        <f>IF(ISNUMBER(K73),IF(MAX(ABS(MAX(H73:J73)),ABS(MIN(H73:J73)))=0,"",K73/MAX(ABS(MAX(H73:J73)),ABS(MIN(H73:J73)))),"")</f>
        <v/>
      </c>
      <c r="M73" s="2">
        <f>IF(AND(ISNUMBER(K73),ISNUMBER(L73)),IF(AND(K73&gt;=Ringkasan!$B$10,L73&gt;=Ringkasan!$B$11),"yes",""),"")</f>
        <v/>
      </c>
      <c r="N73" s="2" t="inlineStr">
        <is>
          <t>SolanaTracker</t>
        </is>
      </c>
      <c r="O73" s="2" t="n"/>
      <c r="Q73" s="2" t="inlineStr">
        <is>
          <t>axiom</t>
        </is>
      </c>
      <c r="S73" s="2" t="n"/>
      <c r="U73" s="2" t="n">
        <v>71</v>
      </c>
    </row>
    <row r="74">
      <c r="A74" s="2" t="inlineStr">
        <is>
          <t>2tgUbS9UMoQD6GkDZBiqKYCURnGrSb6ocYwRABrSJUvY</t>
        </is>
      </c>
      <c r="B74" s="2" t="n"/>
      <c r="C74" s="2">
        <f>COUNT(E74:G74)</f>
        <v/>
      </c>
      <c r="D74" s="2" t="inlineStr">
        <is>
          <t>SolanaTracker</t>
        </is>
      </c>
      <c r="E74" s="2" t="n"/>
      <c r="F74" s="2" t="n">
        <v>71</v>
      </c>
      <c r="G74" s="2" t="n"/>
      <c r="H74" s="8" t="n"/>
      <c r="I74" s="8" t="n">
        <v>530.78</v>
      </c>
      <c r="J74" s="8" t="n"/>
      <c r="K74" s="8">
        <f>IF(COUNT(H74:J74)&gt;=2,MAX(H74:J74)-MIN(H74:J74),"")</f>
        <v/>
      </c>
      <c r="L74" s="9">
        <f>IF(ISNUMBER(K74),IF(MAX(ABS(MAX(H74:J74)),ABS(MIN(H74:J74)))=0,"",K74/MAX(ABS(MAX(H74:J74)),ABS(MIN(H74:J74)))),"")</f>
        <v/>
      </c>
      <c r="M74" s="2">
        <f>IF(AND(ISNUMBER(K74),ISNUMBER(L74)),IF(AND(K74&gt;=Ringkasan!$B$10,L74&gt;=Ringkasan!$B$11),"yes",""),"")</f>
        <v/>
      </c>
      <c r="N74" s="2" t="inlineStr">
        <is>
          <t>SolanaTracker</t>
        </is>
      </c>
      <c r="O74" s="2" t="n"/>
      <c r="Q74" s="2" t="n"/>
      <c r="S74" s="2" t="n"/>
      <c r="U74" s="2" t="n">
        <v>72</v>
      </c>
    </row>
    <row r="75">
      <c r="A75" s="2" t="inlineStr">
        <is>
          <t>Hn3Edvyb38rJipW4F3aZLuYjXHppXvgJXFEWyHX5nPoT</t>
        </is>
      </c>
      <c r="B75" s="2" t="n"/>
      <c r="C75" s="2">
        <f>COUNT(E75:G75)</f>
        <v/>
      </c>
      <c r="D75" s="2" t="inlineStr">
        <is>
          <t>SolanaTracker</t>
        </is>
      </c>
      <c r="E75" s="2" t="n"/>
      <c r="F75" s="2" t="n">
        <v>72</v>
      </c>
      <c r="G75" s="2" t="n"/>
      <c r="H75" s="8" t="n"/>
      <c r="I75" s="8" t="n">
        <v>529.51</v>
      </c>
      <c r="J75" s="8" t="n"/>
      <c r="K75" s="8">
        <f>IF(COUNT(H75:J75)&gt;=2,MAX(H75:J75)-MIN(H75:J75),"")</f>
        <v/>
      </c>
      <c r="L75" s="9">
        <f>IF(ISNUMBER(K75),IF(MAX(ABS(MAX(H75:J75)),ABS(MIN(H75:J75)))=0,"",K75/MAX(ABS(MAX(H75:J75)),ABS(MIN(H75:J75)))),"")</f>
        <v/>
      </c>
      <c r="M75" s="2">
        <f>IF(AND(ISNUMBER(K75),ISNUMBER(L75)),IF(AND(K75&gt;=Ringkasan!$B$10,L75&gt;=Ringkasan!$B$11),"yes",""),"")</f>
        <v/>
      </c>
      <c r="N75" s="2" t="inlineStr">
        <is>
          <t>SolanaTracker</t>
        </is>
      </c>
      <c r="O75" s="2" t="n"/>
      <c r="Q75" s="2" t="n"/>
      <c r="S75" s="2" t="n"/>
      <c r="U75" s="2" t="n">
        <v>73</v>
      </c>
    </row>
    <row r="76">
      <c r="A76" s="2" t="inlineStr">
        <is>
          <t>x1wRVyxJ6xTsp9nQSZgeVsLazPwQbcvUwsb1t5y2WGA</t>
        </is>
      </c>
      <c r="B76" s="2" t="n"/>
      <c r="C76" s="2">
        <f>COUNT(E76:G76)</f>
        <v/>
      </c>
      <c r="D76" s="2" t="inlineStr">
        <is>
          <t>SolanaTracker</t>
        </is>
      </c>
      <c r="E76" s="2" t="n"/>
      <c r="F76" s="2" t="n">
        <v>73</v>
      </c>
      <c r="G76" s="2" t="n"/>
      <c r="H76" s="8" t="n"/>
      <c r="I76" s="8" t="n">
        <v>515.26</v>
      </c>
      <c r="J76" s="8" t="n"/>
      <c r="K76" s="8">
        <f>IF(COUNT(H76:J76)&gt;=2,MAX(H76:J76)-MIN(H76:J76),"")</f>
        <v/>
      </c>
      <c r="L76" s="9">
        <f>IF(ISNUMBER(K76),IF(MAX(ABS(MAX(H76:J76)),ABS(MIN(H76:J76)))=0,"",K76/MAX(ABS(MAX(H76:J76)),ABS(MIN(H76:J76)))),"")</f>
        <v/>
      </c>
      <c r="M76" s="2">
        <f>IF(AND(ISNUMBER(K76),ISNUMBER(L76)),IF(AND(K76&gt;=Ringkasan!$B$10,L76&gt;=Ringkasan!$B$11),"yes",""),"")</f>
        <v/>
      </c>
      <c r="N76" s="2" t="inlineStr">
        <is>
          <t>SolanaTracker</t>
        </is>
      </c>
      <c r="O76" s="2" t="n"/>
      <c r="Q76" s="2" t="inlineStr">
        <is>
          <t>axiom</t>
        </is>
      </c>
      <c r="S76" s="2" t="n"/>
      <c r="U76" s="2" t="n">
        <v>74</v>
      </c>
    </row>
    <row r="77">
      <c r="A77" s="2" t="inlineStr">
        <is>
          <t>9xoW7tmArozmTicuWeQybc9XyYHot8efMECgCDDZAPyF</t>
        </is>
      </c>
      <c r="B77" s="2" t="inlineStr">
        <is>
          <t>Burry</t>
        </is>
      </c>
      <c r="C77" s="2">
        <f>COUNT(E77:G77)</f>
        <v/>
      </c>
      <c r="D77" s="2" t="inlineStr">
        <is>
          <t>SolanaTracker</t>
        </is>
      </c>
      <c r="E77" s="2" t="n"/>
      <c r="F77" s="2" t="n">
        <v>74</v>
      </c>
      <c r="G77" s="2" t="n"/>
      <c r="H77" s="8" t="n"/>
      <c r="I77" s="8" t="n">
        <v>499.31</v>
      </c>
      <c r="J77" s="8" t="n"/>
      <c r="K77" s="8">
        <f>IF(COUNT(H77:J77)&gt;=2,MAX(H77:J77)-MIN(H77:J77),"")</f>
        <v/>
      </c>
      <c r="L77" s="9">
        <f>IF(ISNUMBER(K77),IF(MAX(ABS(MAX(H77:J77)),ABS(MIN(H77:J77)))=0,"",K77/MAX(ABS(MAX(H77:J77)),ABS(MIN(H77:J77)))),"")</f>
        <v/>
      </c>
      <c r="M77" s="2">
        <f>IF(AND(ISNUMBER(K77),ISNUMBER(L77)),IF(AND(K77&gt;=Ringkasan!$B$10,L77&gt;=Ringkasan!$B$11),"yes",""),"")</f>
        <v/>
      </c>
      <c r="N77" s="2" t="inlineStr">
        <is>
          <t>SolanaTracker</t>
        </is>
      </c>
      <c r="O77" s="2" t="n"/>
      <c r="Q77" s="2" t="inlineStr">
        <is>
          <t>fomo</t>
        </is>
      </c>
      <c r="S77" s="2" t="n"/>
      <c r="U77" s="2" t="n">
        <v>75</v>
      </c>
    </row>
    <row r="78">
      <c r="A78" s="2" t="inlineStr">
        <is>
          <t>dtrzJPj7yDdvm6eRqBAgxsK2sMJeD9HhBEBB3XMedXy</t>
        </is>
      </c>
      <c r="B78" s="2" t="n"/>
      <c r="C78" s="2">
        <f>COUNT(E78:G78)</f>
        <v/>
      </c>
      <c r="D78" s="2" t="inlineStr">
        <is>
          <t>SolanaTracker</t>
        </is>
      </c>
      <c r="E78" s="2" t="n"/>
      <c r="F78" s="2" t="n">
        <v>76</v>
      </c>
      <c r="G78" s="2" t="n"/>
      <c r="H78" s="8" t="n"/>
      <c r="I78" s="8" t="n">
        <v>489.03</v>
      </c>
      <c r="J78" s="8" t="n"/>
      <c r="K78" s="8">
        <f>IF(COUNT(H78:J78)&gt;=2,MAX(H78:J78)-MIN(H78:J78),"")</f>
        <v/>
      </c>
      <c r="L78" s="9">
        <f>IF(ISNUMBER(K78),IF(MAX(ABS(MAX(H78:J78)),ABS(MIN(H78:J78)))=0,"",K78/MAX(ABS(MAX(H78:J78)),ABS(MIN(H78:J78)))),"")</f>
        <v/>
      </c>
      <c r="M78" s="2">
        <f>IF(AND(ISNUMBER(K78),ISNUMBER(L78)),IF(AND(K78&gt;=Ringkasan!$B$10,L78&gt;=Ringkasan!$B$11),"yes",""),"")</f>
        <v/>
      </c>
      <c r="N78" s="2" t="inlineStr">
        <is>
          <t>SolanaTracker</t>
        </is>
      </c>
      <c r="O78" s="2" t="n"/>
      <c r="Q78" s="2" t="inlineStr">
        <is>
          <t>terminal; axiom; developer</t>
        </is>
      </c>
      <c r="S78" s="2" t="n"/>
      <c r="U78" s="2" t="n">
        <v>77</v>
      </c>
    </row>
    <row r="79">
      <c r="A79" s="2" t="inlineStr">
        <is>
          <t>FUda9sJqhYPN81iSb5GEtHC2natgPTuHW8wQwcm7nb9J</t>
        </is>
      </c>
      <c r="B79" s="2" t="n"/>
      <c r="C79" s="2">
        <f>COUNT(E79:G79)</f>
        <v/>
      </c>
      <c r="D79" s="2" t="inlineStr">
        <is>
          <t>SolanaTracker</t>
        </is>
      </c>
      <c r="E79" s="2" t="n"/>
      <c r="F79" s="2" t="n">
        <v>77</v>
      </c>
      <c r="G79" s="2" t="n"/>
      <c r="H79" s="8" t="n"/>
      <c r="I79" s="8" t="n">
        <v>486</v>
      </c>
      <c r="J79" s="8" t="n"/>
      <c r="K79" s="8">
        <f>IF(COUNT(H79:J79)&gt;=2,MAX(H79:J79)-MIN(H79:J79),"")</f>
        <v/>
      </c>
      <c r="L79" s="9">
        <f>IF(ISNUMBER(K79),IF(MAX(ABS(MAX(H79:J79)),ABS(MIN(H79:J79)))=0,"",K79/MAX(ABS(MAX(H79:J79)),ABS(MIN(H79:J79)))),"")</f>
        <v/>
      </c>
      <c r="M79" s="2">
        <f>IF(AND(ISNUMBER(K79),ISNUMBER(L79)),IF(AND(K79&gt;=Ringkasan!$B$10,L79&gt;=Ringkasan!$B$11),"yes",""),"")</f>
        <v/>
      </c>
      <c r="N79" s="2" t="inlineStr">
        <is>
          <t>SolanaTracker</t>
        </is>
      </c>
      <c r="O79" s="2" t="n"/>
      <c r="Q79" s="2" t="inlineStr">
        <is>
          <t>axiom</t>
        </is>
      </c>
      <c r="S79" s="2" t="n"/>
      <c r="U79" s="2" t="n">
        <v>78</v>
      </c>
    </row>
    <row r="80">
      <c r="A80" s="2" t="inlineStr">
        <is>
          <t>7ntHY4u8cxyPdG48Jv7tBXgpr7375yooCSHz5aNV9ud6</t>
        </is>
      </c>
      <c r="B80" s="2" t="n"/>
      <c r="C80" s="2">
        <f>COUNT(E80:G80)</f>
        <v/>
      </c>
      <c r="D80" s="2" t="inlineStr">
        <is>
          <t>SolanaTracker</t>
        </is>
      </c>
      <c r="E80" s="2" t="n"/>
      <c r="F80" s="2" t="n">
        <v>78</v>
      </c>
      <c r="G80" s="2" t="n"/>
      <c r="H80" s="8" t="n"/>
      <c r="I80" s="8" t="n">
        <v>485.21</v>
      </c>
      <c r="J80" s="8" t="n"/>
      <c r="K80" s="8">
        <f>IF(COUNT(H80:J80)&gt;=2,MAX(H80:J80)-MIN(H80:J80),"")</f>
        <v/>
      </c>
      <c r="L80" s="9">
        <f>IF(ISNUMBER(K80),IF(MAX(ABS(MAX(H80:J80)),ABS(MIN(H80:J80)))=0,"",K80/MAX(ABS(MAX(H80:J80)),ABS(MIN(H80:J80)))),"")</f>
        <v/>
      </c>
      <c r="M80" s="2">
        <f>IF(AND(ISNUMBER(K80),ISNUMBER(L80)),IF(AND(K80&gt;=Ringkasan!$B$10,L80&gt;=Ringkasan!$B$11),"yes",""),"")</f>
        <v/>
      </c>
      <c r="N80" s="2" t="inlineStr">
        <is>
          <t>SolanaTracker</t>
        </is>
      </c>
      <c r="O80" s="2" t="n"/>
      <c r="Q80" s="2" t="inlineStr">
        <is>
          <t>terminal; axiom</t>
        </is>
      </c>
      <c r="S80" s="2" t="n"/>
      <c r="U80" s="2" t="n">
        <v>79</v>
      </c>
    </row>
    <row r="81">
      <c r="A81" s="2" t="inlineStr">
        <is>
          <t>2ZEQ7jhCXunw8EHsGRU7beBeayNtvm8rxhSZ5kH5Rhan</t>
        </is>
      </c>
      <c r="B81" s="2" t="n"/>
      <c r="C81" s="2">
        <f>COUNT(E81:G81)</f>
        <v/>
      </c>
      <c r="D81" s="2" t="inlineStr">
        <is>
          <t>SolanaTracker</t>
        </is>
      </c>
      <c r="E81" s="2" t="n"/>
      <c r="F81" s="2" t="n">
        <v>79</v>
      </c>
      <c r="G81" s="2" t="n"/>
      <c r="H81" s="8" t="n"/>
      <c r="I81" s="8" t="n">
        <v>483.1</v>
      </c>
      <c r="J81" s="8" t="n"/>
      <c r="K81" s="8">
        <f>IF(COUNT(H81:J81)&gt;=2,MAX(H81:J81)-MIN(H81:J81),"")</f>
        <v/>
      </c>
      <c r="L81" s="9">
        <f>IF(ISNUMBER(K81),IF(MAX(ABS(MAX(H81:J81)),ABS(MIN(H81:J81)))=0,"",K81/MAX(ABS(MAX(H81:J81)),ABS(MIN(H81:J81)))),"")</f>
        <v/>
      </c>
      <c r="M81" s="2">
        <f>IF(AND(ISNUMBER(K81),ISNUMBER(L81)),IF(AND(K81&gt;=Ringkasan!$B$10,L81&gt;=Ringkasan!$B$11),"yes",""),"")</f>
        <v/>
      </c>
      <c r="N81" s="2" t="inlineStr">
        <is>
          <t>SolanaTracker</t>
        </is>
      </c>
      <c r="O81" s="2" t="n"/>
      <c r="Q81" s="2" t="inlineStr">
        <is>
          <t>axiom</t>
        </is>
      </c>
      <c r="S81" s="2" t="n"/>
      <c r="U81" s="2" t="n">
        <v>80</v>
      </c>
    </row>
    <row r="82">
      <c r="A82" s="2" t="inlineStr">
        <is>
          <t>AZizBj4pgYGtzNZhBUFKHdk9twF5PPzgUuoHRkLsU9mG</t>
        </is>
      </c>
      <c r="B82" s="2" t="n"/>
      <c r="C82" s="2">
        <f>COUNT(E82:G82)</f>
        <v/>
      </c>
      <c r="D82" s="2" t="inlineStr">
        <is>
          <t>SolanaTracker</t>
        </is>
      </c>
      <c r="E82" s="2" t="n"/>
      <c r="F82" s="2" t="n">
        <v>80</v>
      </c>
      <c r="G82" s="2" t="n"/>
      <c r="H82" s="8" t="n"/>
      <c r="I82" s="8" t="n">
        <v>482.83</v>
      </c>
      <c r="J82" s="8" t="n"/>
      <c r="K82" s="8">
        <f>IF(COUNT(H82:J82)&gt;=2,MAX(H82:J82)-MIN(H82:J82),"")</f>
        <v/>
      </c>
      <c r="L82" s="9">
        <f>IF(ISNUMBER(K82),IF(MAX(ABS(MAX(H82:J82)),ABS(MIN(H82:J82)))=0,"",K82/MAX(ABS(MAX(H82:J82)),ABS(MIN(H82:J82)))),"")</f>
        <v/>
      </c>
      <c r="M82" s="2">
        <f>IF(AND(ISNUMBER(K82),ISNUMBER(L82)),IF(AND(K82&gt;=Ringkasan!$B$10,L82&gt;=Ringkasan!$B$11),"yes",""),"")</f>
        <v/>
      </c>
      <c r="N82" s="2" t="inlineStr">
        <is>
          <t>SolanaTracker</t>
        </is>
      </c>
      <c r="O82" s="2" t="n"/>
      <c r="Q82" s="2" t="inlineStr">
        <is>
          <t>axiom</t>
        </is>
      </c>
      <c r="S82" s="2" t="n"/>
      <c r="U82" s="2" t="n">
        <v>81</v>
      </c>
    </row>
    <row r="83">
      <c r="A83" s="2" t="inlineStr">
        <is>
          <t>GpBNf1N7RhKitLiewPaEyLTSHyEgFQhmbxMqYUKN4nUA</t>
        </is>
      </c>
      <c r="B83" s="2" t="inlineStr">
        <is>
          <t>hi</t>
        </is>
      </c>
      <c r="C83" s="2">
        <f>COUNT(E83:G83)</f>
        <v/>
      </c>
      <c r="D83" s="2" t="inlineStr">
        <is>
          <t>SolanaTracker</t>
        </is>
      </c>
      <c r="E83" s="2" t="n"/>
      <c r="F83" s="2" t="n">
        <v>81</v>
      </c>
      <c r="G83" s="2" t="n"/>
      <c r="H83" s="8" t="n"/>
      <c r="I83" s="8" t="n">
        <v>480.72</v>
      </c>
      <c r="J83" s="8" t="n"/>
      <c r="K83" s="8">
        <f>IF(COUNT(H83:J83)&gt;=2,MAX(H83:J83)-MIN(H83:J83),"")</f>
        <v/>
      </c>
      <c r="L83" s="9">
        <f>IF(ISNUMBER(K83),IF(MAX(ABS(MAX(H83:J83)),ABS(MIN(H83:J83)))=0,"",K83/MAX(ABS(MAX(H83:J83)),ABS(MIN(H83:J83)))),"")</f>
        <v/>
      </c>
      <c r="M83" s="2">
        <f>IF(AND(ISNUMBER(K83),ISNUMBER(L83)),IF(AND(K83&gt;=Ringkasan!$B$10,L83&gt;=Ringkasan!$B$11),"yes",""),"")</f>
        <v/>
      </c>
      <c r="N83" s="2" t="inlineStr">
        <is>
          <t>SolanaTracker</t>
        </is>
      </c>
      <c r="O83" s="2" t="n"/>
      <c r="Q83" s="2" t="inlineStr">
        <is>
          <t>fomo</t>
        </is>
      </c>
      <c r="S83" s="2" t="n"/>
      <c r="U83" s="2" t="n">
        <v>82</v>
      </c>
    </row>
    <row r="84">
      <c r="A84" s="2" t="inlineStr">
        <is>
          <t>6zfAFhaN1Yh93pQWkhAyZyvuXdRToDZyhhSjzrnqavJf</t>
        </is>
      </c>
      <c r="B84" s="2" t="n"/>
      <c r="C84" s="2">
        <f>COUNT(E84:G84)</f>
        <v/>
      </c>
      <c r="D84" s="2" t="inlineStr">
        <is>
          <t>SolanaTracker</t>
        </is>
      </c>
      <c r="E84" s="2" t="n"/>
      <c r="F84" s="2" t="n">
        <v>82</v>
      </c>
      <c r="G84" s="2" t="n"/>
      <c r="H84" s="8" t="n"/>
      <c r="I84" s="8" t="n">
        <v>477.43</v>
      </c>
      <c r="J84" s="8" t="n"/>
      <c r="K84" s="8">
        <f>IF(COUNT(H84:J84)&gt;=2,MAX(H84:J84)-MIN(H84:J84),"")</f>
        <v/>
      </c>
      <c r="L84" s="9">
        <f>IF(ISNUMBER(K84),IF(MAX(ABS(MAX(H84:J84)),ABS(MIN(H84:J84)))=0,"",K84/MAX(ABS(MAX(H84:J84)),ABS(MIN(H84:J84)))),"")</f>
        <v/>
      </c>
      <c r="M84" s="2">
        <f>IF(AND(ISNUMBER(K84),ISNUMBER(L84)),IF(AND(K84&gt;=Ringkasan!$B$10,L84&gt;=Ringkasan!$B$11),"yes",""),"")</f>
        <v/>
      </c>
      <c r="N84" s="2" t="inlineStr">
        <is>
          <t>SolanaTracker</t>
        </is>
      </c>
      <c r="O84" s="2" t="n"/>
      <c r="Q84" s="2" t="inlineStr">
        <is>
          <t>gmgn</t>
        </is>
      </c>
      <c r="S84" s="2" t="n"/>
      <c r="U84" s="2" t="n">
        <v>83</v>
      </c>
    </row>
    <row r="85">
      <c r="A85" s="2" t="inlineStr">
        <is>
          <t>apgeZdfGbn7ZAjH6rCQSepqRHT4Wa2XnK2jDDXX2ZnT</t>
        </is>
      </c>
      <c r="B85" s="2" t="inlineStr">
        <is>
          <t>uppermarlin8343</t>
        </is>
      </c>
      <c r="C85" s="2">
        <f>COUNT(E85:G85)</f>
        <v/>
      </c>
      <c r="D85" s="2" t="inlineStr">
        <is>
          <t>SolanaTracker</t>
        </is>
      </c>
      <c r="E85" s="2" t="n"/>
      <c r="F85" s="2" t="n">
        <v>83</v>
      </c>
      <c r="G85" s="2" t="n"/>
      <c r="H85" s="8" t="n"/>
      <c r="I85" s="8" t="n">
        <v>472.28</v>
      </c>
      <c r="J85" s="8" t="n"/>
      <c r="K85" s="8">
        <f>IF(COUNT(H85:J85)&gt;=2,MAX(H85:J85)-MIN(H85:J85),"")</f>
        <v/>
      </c>
      <c r="L85" s="9">
        <f>IF(ISNUMBER(K85),IF(MAX(ABS(MAX(H85:J85)),ABS(MIN(H85:J85)))=0,"",K85/MAX(ABS(MAX(H85:J85)),ABS(MIN(H85:J85)))),"")</f>
        <v/>
      </c>
      <c r="M85" s="2">
        <f>IF(AND(ISNUMBER(K85),ISNUMBER(L85)),IF(AND(K85&gt;=Ringkasan!$B$10,L85&gt;=Ringkasan!$B$11),"yes",""),"")</f>
        <v/>
      </c>
      <c r="N85" s="2" t="inlineStr">
        <is>
          <t>SolanaTracker</t>
        </is>
      </c>
      <c r="O85" s="2" t="n"/>
      <c r="Q85" s="2" t="inlineStr">
        <is>
          <t>axiom; pumpfun-app</t>
        </is>
      </c>
      <c r="S85" s="2" t="n"/>
      <c r="U85" s="2" t="n">
        <v>84</v>
      </c>
    </row>
    <row r="86">
      <c r="A86" s="2" t="inlineStr">
        <is>
          <t>Fy7Z33b2f7b1L53C2KydPsdt7ypmRcuxqRU6L95rNnFc</t>
        </is>
      </c>
      <c r="B86" s="2" t="n"/>
      <c r="C86" s="2">
        <f>COUNT(E86:G86)</f>
        <v/>
      </c>
      <c r="D86" s="2" t="inlineStr">
        <is>
          <t>SolanaTracker</t>
        </is>
      </c>
      <c r="E86" s="2" t="n"/>
      <c r="F86" s="2" t="n">
        <v>84</v>
      </c>
      <c r="G86" s="2" t="n"/>
      <c r="H86" s="8" t="n"/>
      <c r="I86" s="8" t="n">
        <v>460.97</v>
      </c>
      <c r="J86" s="8" t="n"/>
      <c r="K86" s="8">
        <f>IF(COUNT(H86:J86)&gt;=2,MAX(H86:J86)-MIN(H86:J86),"")</f>
        <v/>
      </c>
      <c r="L86" s="9">
        <f>IF(ISNUMBER(K86),IF(MAX(ABS(MAX(H86:J86)),ABS(MIN(H86:J86)))=0,"",K86/MAX(ABS(MAX(H86:J86)),ABS(MIN(H86:J86)))),"")</f>
        <v/>
      </c>
      <c r="M86" s="2">
        <f>IF(AND(ISNUMBER(K86),ISNUMBER(L86)),IF(AND(K86&gt;=Ringkasan!$B$10,L86&gt;=Ringkasan!$B$11),"yes",""),"")</f>
        <v/>
      </c>
      <c r="N86" s="2" t="inlineStr">
        <is>
          <t>SolanaTracker</t>
        </is>
      </c>
      <c r="O86" s="2" t="n"/>
      <c r="Q86" s="2" t="inlineStr">
        <is>
          <t>axiom</t>
        </is>
      </c>
      <c r="S86" s="2" t="n"/>
      <c r="U86" s="2" t="n">
        <v>85</v>
      </c>
    </row>
    <row r="87">
      <c r="A87" s="2" t="inlineStr">
        <is>
          <t>Ajd34jDeB7ZVWjXp9BcQTfCLzgmhSpSMxdTrV8G2Gsdz</t>
        </is>
      </c>
      <c r="B87" s="2" t="inlineStr">
        <is>
          <t>JadeEmpTerry</t>
        </is>
      </c>
      <c r="C87" s="2">
        <f>COUNT(E87:G87)</f>
        <v/>
      </c>
      <c r="D87" s="2" t="inlineStr">
        <is>
          <t>SolanaTracker</t>
        </is>
      </c>
      <c r="E87" s="2" t="n"/>
      <c r="F87" s="2" t="n">
        <v>85</v>
      </c>
      <c r="G87" s="2" t="n"/>
      <c r="H87" s="8" t="n"/>
      <c r="I87" s="8" t="n">
        <v>453.8</v>
      </c>
      <c r="J87" s="8" t="n"/>
      <c r="K87" s="8">
        <f>IF(COUNT(H87:J87)&gt;=2,MAX(H87:J87)-MIN(H87:J87),"")</f>
        <v/>
      </c>
      <c r="L87" s="9">
        <f>IF(ISNUMBER(K87),IF(MAX(ABS(MAX(H87:J87)),ABS(MIN(H87:J87)))=0,"",K87/MAX(ABS(MAX(H87:J87)),ABS(MIN(H87:J87)))),"")</f>
        <v/>
      </c>
      <c r="M87" s="2">
        <f>IF(AND(ISNUMBER(K87),ISNUMBER(L87)),IF(AND(K87&gt;=Ringkasan!$B$10,L87&gt;=Ringkasan!$B$11),"yes",""),"")</f>
        <v/>
      </c>
      <c r="N87" s="2" t="inlineStr">
        <is>
          <t>SolanaTracker</t>
        </is>
      </c>
      <c r="O87" s="2" t="n"/>
      <c r="Q87" s="2" t="inlineStr">
        <is>
          <t>pumpfun-app</t>
        </is>
      </c>
      <c r="S87" s="2" t="n"/>
      <c r="U87" s="2" t="n">
        <v>86</v>
      </c>
    </row>
    <row r="88">
      <c r="A88" s="2" t="inlineStr">
        <is>
          <t>ALL1V7x5gH59qUHdpAK5M1js9YMGhb94xarqoi8PTKqy</t>
        </is>
      </c>
      <c r="B88" s="2" t="inlineStr">
        <is>
          <t>Siris</t>
        </is>
      </c>
      <c r="C88" s="2">
        <f>COUNT(E88:G88)</f>
        <v/>
      </c>
      <c r="D88" s="2" t="inlineStr">
        <is>
          <t>SolanaTracker</t>
        </is>
      </c>
      <c r="E88" s="2" t="n"/>
      <c r="F88" s="2" t="n">
        <v>86</v>
      </c>
      <c r="G88" s="2" t="n"/>
      <c r="H88" s="8" t="n"/>
      <c r="I88" s="8" t="n">
        <v>448.79</v>
      </c>
      <c r="J88" s="8" t="n"/>
      <c r="K88" s="8">
        <f>IF(COUNT(H88:J88)&gt;=2,MAX(H88:J88)-MIN(H88:J88),"")</f>
        <v/>
      </c>
      <c r="L88" s="9">
        <f>IF(ISNUMBER(K88),IF(MAX(ABS(MAX(H88:J88)),ABS(MIN(H88:J88)))=0,"",K88/MAX(ABS(MAX(H88:J88)),ABS(MIN(H88:J88)))),"")</f>
        <v/>
      </c>
      <c r="M88" s="2">
        <f>IF(AND(ISNUMBER(K88),ISNUMBER(L88)),IF(AND(K88&gt;=Ringkasan!$B$10,L88&gt;=Ringkasan!$B$11),"yes",""),"")</f>
        <v/>
      </c>
      <c r="N88" s="2" t="inlineStr">
        <is>
          <t>SolanaTracker</t>
        </is>
      </c>
      <c r="O88" s="2" t="n"/>
      <c r="Q88" s="2" t="inlineStr">
        <is>
          <t>fomo</t>
        </is>
      </c>
      <c r="S88" s="2" t="n"/>
      <c r="U88" s="2" t="n">
        <v>87</v>
      </c>
    </row>
    <row r="89">
      <c r="A89" s="2" t="inlineStr">
        <is>
          <t>BiqikKKLbDbPQ62mZvEFBdATfqrFW3vmG5MSUzpihZ7n</t>
        </is>
      </c>
      <c r="B89" s="2" t="n"/>
      <c r="C89" s="2">
        <f>COUNT(E89:G89)</f>
        <v/>
      </c>
      <c r="D89" s="2" t="inlineStr">
        <is>
          <t>SolanaTracker</t>
        </is>
      </c>
      <c r="E89" s="2" t="n"/>
      <c r="F89" s="2" t="n">
        <v>87</v>
      </c>
      <c r="G89" s="2" t="n"/>
      <c r="H89" s="8" t="n"/>
      <c r="I89" s="8" t="n">
        <v>436.73</v>
      </c>
      <c r="J89" s="8" t="n"/>
      <c r="K89" s="8">
        <f>IF(COUNT(H89:J89)&gt;=2,MAX(H89:J89)-MIN(H89:J89),"")</f>
        <v/>
      </c>
      <c r="L89" s="9">
        <f>IF(ISNUMBER(K89),IF(MAX(ABS(MAX(H89:J89)),ABS(MIN(H89:J89)))=0,"",K89/MAX(ABS(MAX(H89:J89)),ABS(MIN(H89:J89)))),"")</f>
        <v/>
      </c>
      <c r="M89" s="2">
        <f>IF(AND(ISNUMBER(K89),ISNUMBER(L89)),IF(AND(K89&gt;=Ringkasan!$B$10,L89&gt;=Ringkasan!$B$11),"yes",""),"")</f>
        <v/>
      </c>
      <c r="N89" s="2" t="inlineStr">
        <is>
          <t>SolanaTracker</t>
        </is>
      </c>
      <c r="O89" s="2" t="n"/>
      <c r="Q89" s="2" t="inlineStr">
        <is>
          <t>axiom</t>
        </is>
      </c>
      <c r="S89" s="2" t="n"/>
      <c r="U89" s="2" t="n">
        <v>88</v>
      </c>
    </row>
    <row r="90">
      <c r="A90" s="2" t="inlineStr">
        <is>
          <t>7H7nNar5d5YJED1kJ4p7FGD1XqzXmH1GnW9r3hqU7M3Z</t>
        </is>
      </c>
      <c r="B90" s="2" t="n"/>
      <c r="C90" s="2">
        <f>COUNT(E90:G90)</f>
        <v/>
      </c>
      <c r="D90" s="2" t="inlineStr">
        <is>
          <t>SolanaTracker</t>
        </is>
      </c>
      <c r="E90" s="2" t="n"/>
      <c r="F90" s="2" t="n">
        <v>88</v>
      </c>
      <c r="G90" s="2" t="n"/>
      <c r="H90" s="8" t="n"/>
      <c r="I90" s="8" t="n">
        <v>424.14</v>
      </c>
      <c r="J90" s="8" t="n"/>
      <c r="K90" s="8">
        <f>IF(COUNT(H90:J90)&gt;=2,MAX(H90:J90)-MIN(H90:J90),"")</f>
        <v/>
      </c>
      <c r="L90" s="9">
        <f>IF(ISNUMBER(K90),IF(MAX(ABS(MAX(H90:J90)),ABS(MIN(H90:J90)))=0,"",K90/MAX(ABS(MAX(H90:J90)),ABS(MIN(H90:J90)))),"")</f>
        <v/>
      </c>
      <c r="M90" s="2">
        <f>IF(AND(ISNUMBER(K90),ISNUMBER(L90)),IF(AND(K90&gt;=Ringkasan!$B$10,L90&gt;=Ringkasan!$B$11),"yes",""),"")</f>
        <v/>
      </c>
      <c r="N90" s="2" t="inlineStr">
        <is>
          <t>SolanaTracker</t>
        </is>
      </c>
      <c r="O90" s="2" t="n"/>
      <c r="Q90" s="2" t="n"/>
      <c r="S90" s="2" t="n"/>
      <c r="U90" s="2" t="n">
        <v>89</v>
      </c>
    </row>
    <row r="91">
      <c r="A91" s="2" t="inlineStr">
        <is>
          <t>noRqR4WvSSrTu5NAssyTrjunSnFbnZzpQC1gwL88QYQ</t>
        </is>
      </c>
      <c r="B91" s="2" t="n"/>
      <c r="C91" s="2">
        <f>COUNT(E91:G91)</f>
        <v/>
      </c>
      <c r="D91" s="2" t="inlineStr">
        <is>
          <t>SolanaTracker</t>
        </is>
      </c>
      <c r="E91" s="2" t="n"/>
      <c r="F91" s="2" t="n">
        <v>89</v>
      </c>
      <c r="G91" s="2" t="n"/>
      <c r="H91" s="8" t="n"/>
      <c r="I91" s="8" t="n">
        <v>405.87</v>
      </c>
      <c r="J91" s="8" t="n"/>
      <c r="K91" s="8">
        <f>IF(COUNT(H91:J91)&gt;=2,MAX(H91:J91)-MIN(H91:J91),"")</f>
        <v/>
      </c>
      <c r="L91" s="9">
        <f>IF(ISNUMBER(K91),IF(MAX(ABS(MAX(H91:J91)),ABS(MIN(H91:J91)))=0,"",K91/MAX(ABS(MAX(H91:J91)),ABS(MIN(H91:J91)))),"")</f>
        <v/>
      </c>
      <c r="M91" s="2">
        <f>IF(AND(ISNUMBER(K91),ISNUMBER(L91)),IF(AND(K91&gt;=Ringkasan!$B$10,L91&gt;=Ringkasan!$B$11),"yes",""),"")</f>
        <v/>
      </c>
      <c r="N91" s="2" t="inlineStr">
        <is>
          <t>SolanaTracker</t>
        </is>
      </c>
      <c r="O91" s="2" t="n"/>
      <c r="Q91" s="2" t="n"/>
      <c r="S91" s="2" t="n"/>
      <c r="U91" s="2" t="n">
        <v>90</v>
      </c>
    </row>
    <row r="92">
      <c r="A92" s="2" t="inlineStr">
        <is>
          <t>CcHEWcHcoj2NZQJK2Frwp2hDFfAJCU9mtzdk7gGCtDXm</t>
        </is>
      </c>
      <c r="B92" s="2" t="n"/>
      <c r="C92" s="2">
        <f>COUNT(E92:G92)</f>
        <v/>
      </c>
      <c r="D92" s="2" t="inlineStr">
        <is>
          <t>SolanaTracker</t>
        </is>
      </c>
      <c r="E92" s="2" t="n"/>
      <c r="F92" s="2" t="n">
        <v>90</v>
      </c>
      <c r="G92" s="2" t="n"/>
      <c r="H92" s="8" t="n"/>
      <c r="I92" s="8" t="n">
        <v>405.43</v>
      </c>
      <c r="J92" s="8" t="n"/>
      <c r="K92" s="8">
        <f>IF(COUNT(H92:J92)&gt;=2,MAX(H92:J92)-MIN(H92:J92),"")</f>
        <v/>
      </c>
      <c r="L92" s="9">
        <f>IF(ISNUMBER(K92),IF(MAX(ABS(MAX(H92:J92)),ABS(MIN(H92:J92)))=0,"",K92/MAX(ABS(MAX(H92:J92)),ABS(MIN(H92:J92)))),"")</f>
        <v/>
      </c>
      <c r="M92" s="2">
        <f>IF(AND(ISNUMBER(K92),ISNUMBER(L92)),IF(AND(K92&gt;=Ringkasan!$B$10,L92&gt;=Ringkasan!$B$11),"yes",""),"")</f>
        <v/>
      </c>
      <c r="N92" s="2" t="inlineStr">
        <is>
          <t>SolanaTracker</t>
        </is>
      </c>
      <c r="O92" s="2" t="n"/>
      <c r="Q92" s="2" t="inlineStr">
        <is>
          <t>fomo</t>
        </is>
      </c>
      <c r="S92" s="2" t="n"/>
      <c r="U92" s="2" t="n">
        <v>91</v>
      </c>
    </row>
    <row r="93">
      <c r="A93" s="2" t="inlineStr">
        <is>
          <t>3ASXct2jhBroVuKxRdXiDsip9bX3YoTmQGirHH9UCaiG</t>
        </is>
      </c>
      <c r="B93" s="2" t="inlineStr">
        <is>
          <t>TenQuietWhale</t>
        </is>
      </c>
      <c r="C93" s="2">
        <f>COUNT(E93:G93)</f>
        <v/>
      </c>
      <c r="D93" s="2" t="inlineStr">
        <is>
          <t>SolanaTracker</t>
        </is>
      </c>
      <c r="E93" s="2" t="n"/>
      <c r="F93" s="2" t="n">
        <v>91</v>
      </c>
      <c r="G93" s="2" t="n"/>
      <c r="H93" s="8" t="n"/>
      <c r="I93" s="8" t="n">
        <v>404.24</v>
      </c>
      <c r="J93" s="8" t="n"/>
      <c r="K93" s="8">
        <f>IF(COUNT(H93:J93)&gt;=2,MAX(H93:J93)-MIN(H93:J93),"")</f>
        <v/>
      </c>
      <c r="L93" s="9">
        <f>IF(ISNUMBER(K93),IF(MAX(ABS(MAX(H93:J93)),ABS(MIN(H93:J93)))=0,"",K93/MAX(ABS(MAX(H93:J93)),ABS(MIN(H93:J93)))),"")</f>
        <v/>
      </c>
      <c r="M93" s="2">
        <f>IF(AND(ISNUMBER(K93),ISNUMBER(L93)),IF(AND(K93&gt;=Ringkasan!$B$10,L93&gt;=Ringkasan!$B$11),"yes",""),"")</f>
        <v/>
      </c>
      <c r="N93" s="2" t="inlineStr">
        <is>
          <t>SolanaTracker</t>
        </is>
      </c>
      <c r="O93" s="2" t="n"/>
      <c r="Q93" s="2" t="inlineStr">
        <is>
          <t>pumpfun-app</t>
        </is>
      </c>
      <c r="S93" s="2" t="n"/>
      <c r="U93" s="2" t="n">
        <v>92</v>
      </c>
    </row>
    <row r="94">
      <c r="A94" s="2" t="inlineStr">
        <is>
          <t>9ZepEnZGhtodtYqqtFxTRgrmk9z6MJy2kqVvhTPpaRes</t>
        </is>
      </c>
      <c r="B94" s="2" t="inlineStr">
        <is>
          <t>expectedvalue</t>
        </is>
      </c>
      <c r="C94" s="2">
        <f>COUNT(E94:G94)</f>
        <v/>
      </c>
      <c r="D94" s="2" t="inlineStr">
        <is>
          <t>SolanaTracker</t>
        </is>
      </c>
      <c r="E94" s="2" t="n"/>
      <c r="F94" s="2" t="n">
        <v>92</v>
      </c>
      <c r="G94" s="2" t="n"/>
      <c r="H94" s="8" t="n"/>
      <c r="I94" s="8" t="n">
        <v>385.07</v>
      </c>
      <c r="J94" s="8" t="n"/>
      <c r="K94" s="8">
        <f>IF(COUNT(H94:J94)&gt;=2,MAX(H94:J94)-MIN(H94:J94),"")</f>
        <v/>
      </c>
      <c r="L94" s="9">
        <f>IF(ISNUMBER(K94),IF(MAX(ABS(MAX(H94:J94)),ABS(MIN(H94:J94)))=0,"",K94/MAX(ABS(MAX(H94:J94)),ABS(MIN(H94:J94)))),"")</f>
        <v/>
      </c>
      <c r="M94" s="2">
        <f>IF(AND(ISNUMBER(K94),ISNUMBER(L94)),IF(AND(K94&gt;=Ringkasan!$B$10,L94&gt;=Ringkasan!$B$11),"yes",""),"")</f>
        <v/>
      </c>
      <c r="N94" s="2" t="inlineStr">
        <is>
          <t>SolanaTracker</t>
        </is>
      </c>
      <c r="O94" s="2" t="n"/>
      <c r="Q94" s="2" t="inlineStr">
        <is>
          <t>fomo; pumpfun-app</t>
        </is>
      </c>
      <c r="S94" s="2" t="n"/>
      <c r="U94" s="2" t="n">
        <v>93</v>
      </c>
    </row>
    <row r="95">
      <c r="A95" s="2" t="inlineStr">
        <is>
          <t>GAYeu4sM42VJANeJBJ4ckKyGD2gBcmrjMEtwwCe1yGBh</t>
        </is>
      </c>
      <c r="B95" s="2" t="n"/>
      <c r="C95" s="2">
        <f>COUNT(E95:G95)</f>
        <v/>
      </c>
      <c r="D95" s="2" t="inlineStr">
        <is>
          <t>SolanaTracker</t>
        </is>
      </c>
      <c r="E95" s="2" t="n"/>
      <c r="F95" s="2" t="n">
        <v>93</v>
      </c>
      <c r="G95" s="2" t="n"/>
      <c r="H95" s="8" t="n"/>
      <c r="I95" s="8" t="n">
        <v>382.33</v>
      </c>
      <c r="J95" s="8" t="n"/>
      <c r="K95" s="8">
        <f>IF(COUNT(H95:J95)&gt;=2,MAX(H95:J95)-MIN(H95:J95),"")</f>
        <v/>
      </c>
      <c r="L95" s="9">
        <f>IF(ISNUMBER(K95),IF(MAX(ABS(MAX(H95:J95)),ABS(MIN(H95:J95)))=0,"",K95/MAX(ABS(MAX(H95:J95)),ABS(MIN(H95:J95)))),"")</f>
        <v/>
      </c>
      <c r="M95" s="2">
        <f>IF(AND(ISNUMBER(K95),ISNUMBER(L95)),IF(AND(K95&gt;=Ringkasan!$B$10,L95&gt;=Ringkasan!$B$11),"yes",""),"")</f>
        <v/>
      </c>
      <c r="N95" s="2" t="inlineStr">
        <is>
          <t>SolanaTracker</t>
        </is>
      </c>
      <c r="O95" s="2" t="n"/>
      <c r="Q95" s="2" t="inlineStr">
        <is>
          <t>axiom</t>
        </is>
      </c>
      <c r="S95" s="2" t="n"/>
      <c r="U95" s="2" t="n">
        <v>94</v>
      </c>
    </row>
    <row r="96">
      <c r="A96" s="2" t="inlineStr">
        <is>
          <t>2uYtHEunePGBDbAQFe9bX7Qnn4rx2FJa2PgPNRAEdmdC</t>
        </is>
      </c>
      <c r="B96" s="2" t="inlineStr">
        <is>
          <t>VeiledFernLute</t>
        </is>
      </c>
      <c r="C96" s="2">
        <f>COUNT(E96:G96)</f>
        <v/>
      </c>
      <c r="D96" s="2" t="inlineStr">
        <is>
          <t>SolanaTracker</t>
        </is>
      </c>
      <c r="E96" s="2" t="n"/>
      <c r="F96" s="2" t="n">
        <v>94</v>
      </c>
      <c r="G96" s="2" t="n"/>
      <c r="H96" s="8" t="n"/>
      <c r="I96" s="8" t="n">
        <v>380.72</v>
      </c>
      <c r="J96" s="8" t="n"/>
      <c r="K96" s="8">
        <f>IF(COUNT(H96:J96)&gt;=2,MAX(H96:J96)-MIN(H96:J96),"")</f>
        <v/>
      </c>
      <c r="L96" s="9">
        <f>IF(ISNUMBER(K96),IF(MAX(ABS(MAX(H96:J96)),ABS(MIN(H96:J96)))=0,"",K96/MAX(ABS(MAX(H96:J96)),ABS(MIN(H96:J96)))),"")</f>
        <v/>
      </c>
      <c r="M96" s="2">
        <f>IF(AND(ISNUMBER(K96),ISNUMBER(L96)),IF(AND(K96&gt;=Ringkasan!$B$10,L96&gt;=Ringkasan!$B$11),"yes",""),"")</f>
        <v/>
      </c>
      <c r="N96" s="2" t="inlineStr">
        <is>
          <t>SolanaTracker</t>
        </is>
      </c>
      <c r="O96" s="2" t="n"/>
      <c r="Q96" s="2" t="inlineStr">
        <is>
          <t>pumpfun-app</t>
        </is>
      </c>
      <c r="S96" s="2" t="n"/>
      <c r="U96" s="2" t="n">
        <v>95</v>
      </c>
    </row>
    <row r="97">
      <c r="A97" s="2" t="inlineStr">
        <is>
          <t>zm5eRfVBJ9vvRS431ywSDMq5okhSaiZdb6BHSTB9WM4</t>
        </is>
      </c>
      <c r="B97" s="2" t="n"/>
      <c r="C97" s="2">
        <f>COUNT(E97:G97)</f>
        <v/>
      </c>
      <c r="D97" s="2" t="inlineStr">
        <is>
          <t>SolanaTracker</t>
        </is>
      </c>
      <c r="E97" s="2" t="n"/>
      <c r="F97" s="2" t="n">
        <v>95</v>
      </c>
      <c r="G97" s="2" t="n"/>
      <c r="H97" s="8" t="n"/>
      <c r="I97" s="8" t="n">
        <v>379.65</v>
      </c>
      <c r="J97" s="8" t="n"/>
      <c r="K97" s="8">
        <f>IF(COUNT(H97:J97)&gt;=2,MAX(H97:J97)-MIN(H97:J97),"")</f>
        <v/>
      </c>
      <c r="L97" s="9">
        <f>IF(ISNUMBER(K97),IF(MAX(ABS(MAX(H97:J97)),ABS(MIN(H97:J97)))=0,"",K97/MAX(ABS(MAX(H97:J97)),ABS(MIN(H97:J97)))),"")</f>
        <v/>
      </c>
      <c r="M97" s="2">
        <f>IF(AND(ISNUMBER(K97),ISNUMBER(L97)),IF(AND(K97&gt;=Ringkasan!$B$10,L97&gt;=Ringkasan!$B$11),"yes",""),"")</f>
        <v/>
      </c>
      <c r="N97" s="2" t="inlineStr">
        <is>
          <t>SolanaTracker</t>
        </is>
      </c>
      <c r="O97" s="2" t="n"/>
      <c r="Q97" s="2" t="inlineStr">
        <is>
          <t>axiom</t>
        </is>
      </c>
      <c r="S97" s="2" t="n"/>
      <c r="U97" s="2" t="n">
        <v>96</v>
      </c>
    </row>
    <row r="98">
      <c r="A98" s="2" t="inlineStr">
        <is>
          <t>EzbeF2bADKo6GutJyWmgodyGJFeBPhcrXSdZUXPX5WGc</t>
        </is>
      </c>
      <c r="B98" s="2" t="n"/>
      <c r="C98" s="2">
        <f>COUNT(E98:G98)</f>
        <v/>
      </c>
      <c r="D98" s="2" t="inlineStr">
        <is>
          <t>SolanaTracker</t>
        </is>
      </c>
      <c r="E98" s="2" t="n"/>
      <c r="F98" s="2" t="n">
        <v>96</v>
      </c>
      <c r="G98" s="2" t="n"/>
      <c r="H98" s="8" t="n"/>
      <c r="I98" s="8" t="n">
        <v>378.92</v>
      </c>
      <c r="J98" s="8" t="n"/>
      <c r="K98" s="8">
        <f>IF(COUNT(H98:J98)&gt;=2,MAX(H98:J98)-MIN(H98:J98),"")</f>
        <v/>
      </c>
      <c r="L98" s="9">
        <f>IF(ISNUMBER(K98),IF(MAX(ABS(MAX(H98:J98)),ABS(MIN(H98:J98)))=0,"",K98/MAX(ABS(MAX(H98:J98)),ABS(MIN(H98:J98)))),"")</f>
        <v/>
      </c>
      <c r="M98" s="2">
        <f>IF(AND(ISNUMBER(K98),ISNUMBER(L98)),IF(AND(K98&gt;=Ringkasan!$B$10,L98&gt;=Ringkasan!$B$11),"yes",""),"")</f>
        <v/>
      </c>
      <c r="N98" s="2" t="inlineStr">
        <is>
          <t>SolanaTracker</t>
        </is>
      </c>
      <c r="O98" s="2" t="n"/>
      <c r="Q98" s="2" t="inlineStr">
        <is>
          <t>axiom; photon</t>
        </is>
      </c>
      <c r="S98" s="2" t="n"/>
      <c r="U98" s="2" t="n">
        <v>97</v>
      </c>
    </row>
    <row r="99">
      <c r="A99" s="2" t="inlineStr">
        <is>
          <t>CQmQeF6m6QPqrzSPJVApyTspGkgHQUkXsAskX6SgzeuK</t>
        </is>
      </c>
      <c r="B99" s="2" t="inlineStr">
        <is>
          <t>needycrab76328</t>
        </is>
      </c>
      <c r="C99" s="2">
        <f>COUNT(E99:G99)</f>
        <v/>
      </c>
      <c r="D99" s="2" t="inlineStr">
        <is>
          <t>SolanaTracker</t>
        </is>
      </c>
      <c r="E99" s="2" t="n"/>
      <c r="F99" s="2" t="n">
        <v>97</v>
      </c>
      <c r="G99" s="2" t="n"/>
      <c r="H99" s="8" t="n"/>
      <c r="I99" s="8" t="n">
        <v>378.73</v>
      </c>
      <c r="J99" s="8" t="n"/>
      <c r="K99" s="8">
        <f>IF(COUNT(H99:J99)&gt;=2,MAX(H99:J99)-MIN(H99:J99),"")</f>
        <v/>
      </c>
      <c r="L99" s="9">
        <f>IF(ISNUMBER(K99),IF(MAX(ABS(MAX(H99:J99)),ABS(MIN(H99:J99)))=0,"",K99/MAX(ABS(MAX(H99:J99)),ABS(MIN(H99:J99)))),"")</f>
        <v/>
      </c>
      <c r="M99" s="2">
        <f>IF(AND(ISNUMBER(K99),ISNUMBER(L99)),IF(AND(K99&gt;=Ringkasan!$B$10,L99&gt;=Ringkasan!$B$11),"yes",""),"")</f>
        <v/>
      </c>
      <c r="N99" s="2" t="inlineStr">
        <is>
          <t>SolanaTracker</t>
        </is>
      </c>
      <c r="O99" s="2" t="n"/>
      <c r="Q99" s="2" t="inlineStr">
        <is>
          <t>pumpfun-app</t>
        </is>
      </c>
      <c r="S99" s="2" t="n"/>
      <c r="U99" s="2" t="n">
        <v>98</v>
      </c>
    </row>
    <row r="100">
      <c r="A100" s="2" t="inlineStr">
        <is>
          <t>HeMaQvWEQUj2e72LVUTaFzf2JmKFDCtzkuQxmbTLDcvw</t>
        </is>
      </c>
      <c r="B100" s="2" t="n"/>
      <c r="C100" s="2">
        <f>COUNT(E100:G100)</f>
        <v/>
      </c>
      <c r="D100" s="2" t="inlineStr">
        <is>
          <t>SolanaTracker</t>
        </is>
      </c>
      <c r="E100" s="2" t="n"/>
      <c r="F100" s="2" t="n">
        <v>98</v>
      </c>
      <c r="G100" s="2" t="n"/>
      <c r="H100" s="8" t="n"/>
      <c r="I100" s="8" t="n">
        <v>372.16</v>
      </c>
      <c r="J100" s="8" t="n"/>
      <c r="K100" s="8">
        <f>IF(COUNT(H100:J100)&gt;=2,MAX(H100:J100)-MIN(H100:J100),"")</f>
        <v/>
      </c>
      <c r="L100" s="9">
        <f>IF(ISNUMBER(K100),IF(MAX(ABS(MAX(H100:J100)),ABS(MIN(H100:J100)))=0,"",K100/MAX(ABS(MAX(H100:J100)),ABS(MIN(H100:J100)))),"")</f>
        <v/>
      </c>
      <c r="M100" s="2">
        <f>IF(AND(ISNUMBER(K100),ISNUMBER(L100)),IF(AND(K100&gt;=Ringkasan!$B$10,L100&gt;=Ringkasan!$B$11),"yes",""),"")</f>
        <v/>
      </c>
      <c r="N100" s="2" t="inlineStr">
        <is>
          <t>SolanaTracker</t>
        </is>
      </c>
      <c r="O100" s="2" t="n"/>
      <c r="Q100" s="2" t="inlineStr">
        <is>
          <t>axiom</t>
        </is>
      </c>
      <c r="S100" s="2" t="n"/>
      <c r="U100" s="2" t="n">
        <v>99</v>
      </c>
    </row>
    <row r="101">
      <c r="A101" s="2" t="inlineStr">
        <is>
          <t>GdiM7NF9RC6RDMhyLeWEsGv365x9L9vQfRdXSCwHAYSm</t>
        </is>
      </c>
      <c r="B101" s="2" t="inlineStr">
        <is>
          <t>Lelouch</t>
        </is>
      </c>
      <c r="C101" s="2">
        <f>COUNT(E101:G101)</f>
        <v/>
      </c>
      <c r="D101" s="2" t="inlineStr">
        <is>
          <t>SolanaTracker</t>
        </is>
      </c>
      <c r="E101" s="2" t="n"/>
      <c r="F101" s="2" t="n">
        <v>99</v>
      </c>
      <c r="G101" s="2" t="n"/>
      <c r="H101" s="8" t="n"/>
      <c r="I101" s="8" t="n">
        <v>368.4</v>
      </c>
      <c r="J101" s="8" t="n"/>
      <c r="K101" s="8">
        <f>IF(COUNT(H101:J101)&gt;=2,MAX(H101:J101)-MIN(H101:J101),"")</f>
        <v/>
      </c>
      <c r="L101" s="9">
        <f>IF(ISNUMBER(K101),IF(MAX(ABS(MAX(H101:J101)),ABS(MIN(H101:J101)))=0,"",K101/MAX(ABS(MAX(H101:J101)),ABS(MIN(H101:J101)))),"")</f>
        <v/>
      </c>
      <c r="M101" s="2">
        <f>IF(AND(ISNUMBER(K101),ISNUMBER(L101)),IF(AND(K101&gt;=Ringkasan!$B$10,L101&gt;=Ringkasan!$B$11),"yes",""),"")</f>
        <v/>
      </c>
      <c r="N101" s="2" t="inlineStr">
        <is>
          <t>SolanaTracker</t>
        </is>
      </c>
      <c r="O101" s="2" t="n"/>
      <c r="Q101" s="2" t="inlineStr">
        <is>
          <t>fomo</t>
        </is>
      </c>
      <c r="S101" s="2" t="n"/>
      <c r="U101" s="2" t="n">
        <v>100</v>
      </c>
    </row>
    <row r="102">
      <c r="A102" s="2" t="inlineStr">
        <is>
          <t>9NcLaNcchYqNo8HcrdCD3KjLdXcE2p3XZ8vw2EFaFdSJ</t>
        </is>
      </c>
      <c r="B102" s="2" t="n"/>
      <c r="C102" s="2">
        <f>COUNT(E102:G102)</f>
        <v/>
      </c>
      <c r="D102" s="2" t="inlineStr">
        <is>
          <t>SolanaTracker</t>
        </is>
      </c>
      <c r="E102" s="2" t="n"/>
      <c r="F102" s="2" t="n">
        <v>100</v>
      </c>
      <c r="G102" s="2" t="n"/>
      <c r="H102" s="8" t="n"/>
      <c r="I102" s="8" t="n">
        <v>362.49</v>
      </c>
      <c r="J102" s="8" t="n"/>
      <c r="K102" s="8">
        <f>IF(COUNT(H102:J102)&gt;=2,MAX(H102:J102)-MIN(H102:J102),"")</f>
        <v/>
      </c>
      <c r="L102" s="9">
        <f>IF(ISNUMBER(K102),IF(MAX(ABS(MAX(H102:J102)),ABS(MIN(H102:J102)))=0,"",K102/MAX(ABS(MAX(H102:J102)),ABS(MIN(H102:J102)))),"")</f>
        <v/>
      </c>
      <c r="M102" s="2">
        <f>IF(AND(ISNUMBER(K102),ISNUMBER(L102)),IF(AND(K102&gt;=Ringkasan!$B$10,L102&gt;=Ringkasan!$B$11),"yes",""),"")</f>
        <v/>
      </c>
      <c r="N102" s="2" t="inlineStr">
        <is>
          <t>SolanaTracker</t>
        </is>
      </c>
      <c r="O102" s="2" t="n"/>
      <c r="Q102" s="2" t="inlineStr">
        <is>
          <t>potential_bot</t>
        </is>
      </c>
      <c r="S102" s="2" t="n"/>
      <c r="U102" s="2" t="n">
        <v>101</v>
      </c>
    </row>
    <row r="103">
      <c r="A103" s="2" t="inlineStr">
        <is>
          <t>8fsKLLtvKNanL4ginCaiRS6UfeemY11rSf8U8fN1dJw4</t>
        </is>
      </c>
      <c r="B103" s="2" t="inlineStr">
        <is>
          <t>Stigman</t>
        </is>
      </c>
      <c r="C103" s="2">
        <f>COUNT(E103:G103)</f>
        <v/>
      </c>
      <c r="D103" s="2" t="inlineStr">
        <is>
          <t>Vybe</t>
        </is>
      </c>
      <c r="E103" s="2" t="n">
        <v>9</v>
      </c>
      <c r="F103" s="2" t="n"/>
      <c r="G103" s="2" t="n"/>
      <c r="H103" s="8" t="n">
        <v>312.9313279504752</v>
      </c>
      <c r="I103" s="8" t="n"/>
      <c r="J103" s="8" t="n"/>
      <c r="K103" s="8">
        <f>IF(COUNT(H103:J103)&gt;=2,MAX(H103:J103)-MIN(H103:J103),"")</f>
        <v/>
      </c>
      <c r="L103" s="9">
        <f>IF(ISNUMBER(K103),IF(MAX(ABS(MAX(H103:J103)),ABS(MIN(H103:J103)))=0,"",K103/MAX(ABS(MAX(H103:J103)),ABS(MIN(H103:J103)))),"")</f>
        <v/>
      </c>
      <c r="M103" s="2">
        <f>IF(AND(ISNUMBER(K103),ISNUMBER(L103)),IF(AND(K103&gt;=Ringkasan!$B$10,L103&gt;=Ringkasan!$B$11),"yes",""),"")</f>
        <v/>
      </c>
      <c r="N103" s="2" t="inlineStr">
        <is>
          <t>Vybe</t>
        </is>
      </c>
      <c r="O103" s="2" t="n"/>
      <c r="P103" s="2" t="inlineStr">
        <is>
          <t>KOL</t>
        </is>
      </c>
      <c r="S103" s="2" t="n"/>
      <c r="T103" s="2" t="n">
        <v>10</v>
      </c>
    </row>
    <row r="104">
      <c r="A104" s="2" t="inlineStr">
        <is>
          <t>EeXvxkcGqMDZeTaVeawzxm9mbzZwqDUMmfG3bF7uzumH</t>
        </is>
      </c>
      <c r="B104" s="2" t="inlineStr">
        <is>
          <t>milito</t>
        </is>
      </c>
      <c r="C104" s="2">
        <f>COUNT(E104:G104)</f>
        <v/>
      </c>
      <c r="D104" s="2" t="inlineStr">
        <is>
          <t>Vybe</t>
        </is>
      </c>
      <c r="E104" s="2" t="n">
        <v>10</v>
      </c>
      <c r="F104" s="2" t="n"/>
      <c r="G104" s="2" t="n"/>
      <c r="H104" s="8" t="n">
        <v>300.7335425713609</v>
      </c>
      <c r="I104" s="8" t="n"/>
      <c r="J104" s="8" t="n"/>
      <c r="K104" s="8">
        <f>IF(COUNT(H104:J104)&gt;=2,MAX(H104:J104)-MIN(H104:J104),"")</f>
        <v/>
      </c>
      <c r="L104" s="9">
        <f>IF(ISNUMBER(K104),IF(MAX(ABS(MAX(H104:J104)),ABS(MIN(H104:J104)))=0,"",K104/MAX(ABS(MAX(H104:J104)),ABS(MIN(H104:J104)))),"")</f>
        <v/>
      </c>
      <c r="M104" s="2">
        <f>IF(AND(ISNUMBER(K104),ISNUMBER(L104)),IF(AND(K104&gt;=Ringkasan!$B$10,L104&gt;=Ringkasan!$B$11),"yes",""),"")</f>
        <v/>
      </c>
      <c r="N104" s="2" t="inlineStr">
        <is>
          <t>Vybe</t>
        </is>
      </c>
      <c r="O104" s="2" t="n"/>
      <c r="P104" s="2" t="inlineStr">
        <is>
          <t>KOL</t>
        </is>
      </c>
      <c r="S104" s="2" t="n"/>
      <c r="T104" s="2" t="n">
        <v>11</v>
      </c>
    </row>
    <row r="105">
      <c r="A105" s="2" t="inlineStr">
        <is>
          <t>5vg7he5HibvsAW86wfiuP6jw7VwKmUAnP6P93mVCdpJu</t>
        </is>
      </c>
      <c r="B105" s="2" t="inlineStr">
        <is>
          <t>blixze ♱</t>
        </is>
      </c>
      <c r="C105" s="2">
        <f>COUNT(E105:G105)</f>
        <v/>
      </c>
      <c r="D105" s="2" t="inlineStr">
        <is>
          <t>Vybe</t>
        </is>
      </c>
      <c r="E105" s="2" t="n">
        <v>11</v>
      </c>
      <c r="F105" s="2" t="n"/>
      <c r="G105" s="2" t="n"/>
      <c r="H105" s="8" t="n">
        <v>253.1485703826575</v>
      </c>
      <c r="I105" s="8" t="n"/>
      <c r="J105" s="8" t="n"/>
      <c r="K105" s="8">
        <f>IF(COUNT(H105:J105)&gt;=2,MAX(H105:J105)-MIN(H105:J105),"")</f>
        <v/>
      </c>
      <c r="L105" s="9">
        <f>IF(ISNUMBER(K105),IF(MAX(ABS(MAX(H105:J105)),ABS(MIN(H105:J105)))=0,"",K105/MAX(ABS(MAX(H105:J105)),ABS(MIN(H105:J105)))),"")</f>
        <v/>
      </c>
      <c r="M105" s="2">
        <f>IF(AND(ISNUMBER(K105),ISNUMBER(L105)),IF(AND(K105&gt;=Ringkasan!$B$10,L105&gt;=Ringkasan!$B$11),"yes",""),"")</f>
        <v/>
      </c>
      <c r="N105" s="2" t="inlineStr">
        <is>
          <t>Vybe</t>
        </is>
      </c>
      <c r="O105" s="2" t="n"/>
      <c r="P105" s="2" t="inlineStr">
        <is>
          <t>KOL</t>
        </is>
      </c>
      <c r="S105" s="2" t="n"/>
      <c r="T105" s="2" t="n">
        <v>12</v>
      </c>
    </row>
    <row r="106">
      <c r="A106" s="2" t="inlineStr">
        <is>
          <t>4S8YBCt6hhi7Nr1NnKF6jF856LLN8JJFzD1a8nF5UuHA</t>
        </is>
      </c>
      <c r="B106" s="2" t="inlineStr">
        <is>
          <t>shaka</t>
        </is>
      </c>
      <c r="C106" s="2">
        <f>COUNT(E106:G106)</f>
        <v/>
      </c>
      <c r="D106" s="2" t="inlineStr">
        <is>
          <t>Vybe</t>
        </is>
      </c>
      <c r="E106" s="2" t="n">
        <v>12</v>
      </c>
      <c r="F106" s="2" t="n"/>
      <c r="G106" s="2" t="n"/>
      <c r="H106" s="8" t="n">
        <v>230.6495653644234</v>
      </c>
      <c r="I106" s="8" t="n"/>
      <c r="J106" s="8" t="n"/>
      <c r="K106" s="8">
        <f>IF(COUNT(H106:J106)&gt;=2,MAX(H106:J106)-MIN(H106:J106),"")</f>
        <v/>
      </c>
      <c r="L106" s="9">
        <f>IF(ISNUMBER(K106),IF(MAX(ABS(MAX(H106:J106)),ABS(MIN(H106:J106)))=0,"",K106/MAX(ABS(MAX(H106:J106)),ABS(MIN(H106:J106)))),"")</f>
        <v/>
      </c>
      <c r="M106" s="2">
        <f>IF(AND(ISNUMBER(K106),ISNUMBER(L106)),IF(AND(K106&gt;=Ringkasan!$B$10,L106&gt;=Ringkasan!$B$11),"yes",""),"")</f>
        <v/>
      </c>
      <c r="N106" s="2" t="inlineStr">
        <is>
          <t>Vybe</t>
        </is>
      </c>
      <c r="O106" s="2" t="n"/>
      <c r="P106" s="2" t="inlineStr">
        <is>
          <t>KOL</t>
        </is>
      </c>
      <c r="S106" s="2" t="n"/>
      <c r="T106" s="2" t="n">
        <v>13</v>
      </c>
    </row>
    <row r="107">
      <c r="A107" s="2" t="inlineStr">
        <is>
          <t>9iaawVBEsFG35PSwd4PahwT8fYNQe9XYuRdWm872dUqY</t>
        </is>
      </c>
      <c r="B107" s="2" t="inlineStr">
        <is>
          <t>Meechie</t>
        </is>
      </c>
      <c r="C107" s="2">
        <f>COUNT(E107:G107)</f>
        <v/>
      </c>
      <c r="D107" s="2" t="inlineStr">
        <is>
          <t>Vybe</t>
        </is>
      </c>
      <c r="E107" s="2" t="n">
        <v>13</v>
      </c>
      <c r="F107" s="2" t="n"/>
      <c r="G107" s="2" t="n"/>
      <c r="H107" s="8" t="n">
        <v>203.0359335608114</v>
      </c>
      <c r="I107" s="8" t="n"/>
      <c r="J107" s="8" t="n"/>
      <c r="K107" s="8">
        <f>IF(COUNT(H107:J107)&gt;=2,MAX(H107:J107)-MIN(H107:J107),"")</f>
        <v/>
      </c>
      <c r="L107" s="9">
        <f>IF(ISNUMBER(K107),IF(MAX(ABS(MAX(H107:J107)),ABS(MIN(H107:J107)))=0,"",K107/MAX(ABS(MAX(H107:J107)),ABS(MIN(H107:J107)))),"")</f>
        <v/>
      </c>
      <c r="M107" s="2">
        <f>IF(AND(ISNUMBER(K107),ISNUMBER(L107)),IF(AND(K107&gt;=Ringkasan!$B$10,L107&gt;=Ringkasan!$B$11),"yes",""),"")</f>
        <v/>
      </c>
      <c r="N107" s="2" t="inlineStr">
        <is>
          <t>Vybe</t>
        </is>
      </c>
      <c r="O107" s="2" t="n"/>
      <c r="P107" s="2" t="inlineStr">
        <is>
          <t>KOL</t>
        </is>
      </c>
      <c r="S107" s="2" t="n"/>
      <c r="T107" s="2" t="n">
        <v>14</v>
      </c>
    </row>
    <row r="108">
      <c r="A108" s="2" t="inlineStr">
        <is>
          <t>9B3XkfDxCG3QBrVMEDMVNzJn5tJsGkERWMAypC98PkEH</t>
        </is>
      </c>
      <c r="B108" s="2" t="n"/>
      <c r="C108" s="2">
        <f>COUNT(E108:G108)</f>
        <v/>
      </c>
      <c r="D108" s="2" t="inlineStr">
        <is>
          <t>Vybe</t>
        </is>
      </c>
      <c r="E108" s="2" t="n">
        <v>14</v>
      </c>
      <c r="F108" s="2" t="n"/>
      <c r="G108" s="2" t="n"/>
      <c r="H108" s="8" t="n">
        <v>184.6530378890327</v>
      </c>
      <c r="I108" s="8" t="n"/>
      <c r="J108" s="8" t="n"/>
      <c r="K108" s="8">
        <f>IF(COUNT(H108:J108)&gt;=2,MAX(H108:J108)-MIN(H108:J108),"")</f>
        <v/>
      </c>
      <c r="L108" s="9">
        <f>IF(ISNUMBER(K108),IF(MAX(ABS(MAX(H108:J108)),ABS(MIN(H108:J108)))=0,"",K108/MAX(ABS(MAX(H108:J108)),ABS(MIN(H108:J108)))),"")</f>
        <v/>
      </c>
      <c r="M108" s="2">
        <f>IF(AND(ISNUMBER(K108),ISNUMBER(L108)),IF(AND(K108&gt;=Ringkasan!$B$10,L108&gt;=Ringkasan!$B$11),"yes",""),"")</f>
        <v/>
      </c>
      <c r="N108" s="2" t="inlineStr">
        <is>
          <t>Vybe</t>
        </is>
      </c>
      <c r="O108" s="2" t="n"/>
      <c r="P108" s="2" t="n"/>
      <c r="S108" s="2" t="n"/>
      <c r="T108" s="2" t="n">
        <v>15</v>
      </c>
    </row>
    <row r="109">
      <c r="A109" s="2" t="inlineStr">
        <is>
          <t>6uCmBAxg9kgyiyzPs2XhYjebiadWwDxnmkMJ1djYBB1</t>
        </is>
      </c>
      <c r="B109" s="2" t="n"/>
      <c r="C109" s="2">
        <f>COUNT(E109:G109)</f>
        <v/>
      </c>
      <c r="D109" s="2" t="inlineStr">
        <is>
          <t>Vybe</t>
        </is>
      </c>
      <c r="E109" s="2" t="n">
        <v>16</v>
      </c>
      <c r="F109" s="2" t="n"/>
      <c r="G109" s="2" t="n"/>
      <c r="H109" s="8" t="n">
        <v>115.6290970268938</v>
      </c>
      <c r="I109" s="8" t="n"/>
      <c r="J109" s="8" t="n"/>
      <c r="K109" s="8">
        <f>IF(COUNT(H109:J109)&gt;=2,MAX(H109:J109)-MIN(H109:J109),"")</f>
        <v/>
      </c>
      <c r="L109" s="9">
        <f>IF(ISNUMBER(K109),IF(MAX(ABS(MAX(H109:J109)),ABS(MIN(H109:J109)))=0,"",K109/MAX(ABS(MAX(H109:J109)),ABS(MIN(H109:J109)))),"")</f>
        <v/>
      </c>
      <c r="M109" s="2">
        <f>IF(AND(ISNUMBER(K109),ISNUMBER(L109)),IF(AND(K109&gt;=Ringkasan!$B$10,L109&gt;=Ringkasan!$B$11),"yes",""),"")</f>
        <v/>
      </c>
      <c r="N109" s="2" t="inlineStr">
        <is>
          <t>Vybe</t>
        </is>
      </c>
      <c r="O109" s="2" t="n"/>
      <c r="P109" s="2" t="n"/>
      <c r="S109" s="2" t="n"/>
      <c r="T109" s="2" t="n">
        <v>17</v>
      </c>
    </row>
    <row r="110">
      <c r="A110" s="2" t="inlineStr">
        <is>
          <t>8CCb5QnL2viBUDvb6piyuawe7h4WwP2RdAiN52au22Wh</t>
        </is>
      </c>
      <c r="B110" s="2" t="n"/>
      <c r="C110" s="2">
        <f>COUNT(E110:G110)</f>
        <v/>
      </c>
      <c r="D110" s="2" t="inlineStr">
        <is>
          <t>Vybe</t>
        </is>
      </c>
      <c r="E110" s="2" t="n">
        <v>17</v>
      </c>
      <c r="F110" s="2" t="n"/>
      <c r="G110" s="2" t="n"/>
      <c r="H110" s="8" t="n">
        <v>113.755030478216</v>
      </c>
      <c r="I110" s="8" t="n"/>
      <c r="J110" s="8" t="n"/>
      <c r="K110" s="8">
        <f>IF(COUNT(H110:J110)&gt;=2,MAX(H110:J110)-MIN(H110:J110),"")</f>
        <v/>
      </c>
      <c r="L110" s="9">
        <f>IF(ISNUMBER(K110),IF(MAX(ABS(MAX(H110:J110)),ABS(MIN(H110:J110)))=0,"",K110/MAX(ABS(MAX(H110:J110)),ABS(MIN(H110:J110)))),"")</f>
        <v/>
      </c>
      <c r="M110" s="2">
        <f>IF(AND(ISNUMBER(K110),ISNUMBER(L110)),IF(AND(K110&gt;=Ringkasan!$B$10,L110&gt;=Ringkasan!$B$11),"yes",""),"")</f>
        <v/>
      </c>
      <c r="N110" s="2" t="inlineStr">
        <is>
          <t>Vybe</t>
        </is>
      </c>
      <c r="O110" s="2" t="n"/>
      <c r="P110" s="2" t="n"/>
      <c r="S110" s="2" t="n"/>
      <c r="T110" s="2" t="n">
        <v>18</v>
      </c>
    </row>
    <row r="111">
      <c r="A111" s="2" t="inlineStr">
        <is>
          <t>9aGU3qY1e1b2eYikui8n8FK2pLhwWmFV2j1RALFQcfCX</t>
        </is>
      </c>
      <c r="B111" s="2" t="n"/>
      <c r="C111" s="2">
        <f>COUNT(E111:G111)</f>
        <v/>
      </c>
      <c r="D111" s="2" t="inlineStr">
        <is>
          <t>Vybe</t>
        </is>
      </c>
      <c r="E111" s="2" t="n">
        <v>18</v>
      </c>
      <c r="F111" s="2" t="n"/>
      <c r="G111" s="2" t="n"/>
      <c r="H111" s="8" t="n">
        <v>87.44444002099843</v>
      </c>
      <c r="I111" s="8" t="n"/>
      <c r="J111" s="8" t="n"/>
      <c r="K111" s="8">
        <f>IF(COUNT(H111:J111)&gt;=2,MAX(H111:J111)-MIN(H111:J111),"")</f>
        <v/>
      </c>
      <c r="L111" s="9">
        <f>IF(ISNUMBER(K111),IF(MAX(ABS(MAX(H111:J111)),ABS(MIN(H111:J111)))=0,"",K111/MAX(ABS(MAX(H111:J111)),ABS(MIN(H111:J111)))),"")</f>
        <v/>
      </c>
      <c r="M111" s="2">
        <f>IF(AND(ISNUMBER(K111),ISNUMBER(L111)),IF(AND(K111&gt;=Ringkasan!$B$10,L111&gt;=Ringkasan!$B$11),"yes",""),"")</f>
        <v/>
      </c>
      <c r="N111" s="2" t="inlineStr">
        <is>
          <t>Vybe</t>
        </is>
      </c>
      <c r="O111" s="2" t="n"/>
      <c r="P111" s="2" t="n"/>
      <c r="S111" s="2" t="n"/>
      <c r="T111" s="2" t="n">
        <v>19</v>
      </c>
    </row>
    <row r="112">
      <c r="A112" s="2" t="inlineStr">
        <is>
          <t>Bjka6ui7kf8coVg7aC6TQC6736TZvSdcyHBPQczF5RG9</t>
        </is>
      </c>
      <c r="B112" s="2" t="n"/>
      <c r="C112" s="2">
        <f>COUNT(E112:G112)</f>
        <v/>
      </c>
      <c r="D112" s="2" t="inlineStr">
        <is>
          <t>Vybe</t>
        </is>
      </c>
      <c r="E112" s="2" t="n">
        <v>19</v>
      </c>
      <c r="F112" s="2" t="n"/>
      <c r="G112" s="2" t="n"/>
      <c r="H112" s="8" t="n">
        <v>85.97894334544348</v>
      </c>
      <c r="I112" s="8" t="n"/>
      <c r="J112" s="8" t="n"/>
      <c r="K112" s="8">
        <f>IF(COUNT(H112:J112)&gt;=2,MAX(H112:J112)-MIN(H112:J112),"")</f>
        <v/>
      </c>
      <c r="L112" s="9">
        <f>IF(ISNUMBER(K112),IF(MAX(ABS(MAX(H112:J112)),ABS(MIN(H112:J112)))=0,"",K112/MAX(ABS(MAX(H112:J112)),ABS(MIN(H112:J112)))),"")</f>
        <v/>
      </c>
      <c r="M112" s="2">
        <f>IF(AND(ISNUMBER(K112),ISNUMBER(L112)),IF(AND(K112&gt;=Ringkasan!$B$10,L112&gt;=Ringkasan!$B$11),"yes",""),"")</f>
        <v/>
      </c>
      <c r="N112" s="2" t="inlineStr">
        <is>
          <t>Vybe</t>
        </is>
      </c>
      <c r="O112" s="2" t="n"/>
      <c r="P112" s="2" t="n"/>
      <c r="S112" s="2" t="n"/>
      <c r="T112" s="2" t="n">
        <v>20</v>
      </c>
    </row>
    <row r="113">
      <c r="A113" s="2" t="inlineStr">
        <is>
          <t>87YAxAWhwp4hiTuJrMpRBL4tY9FFWpv4XXCR2PbdLgKa</t>
        </is>
      </c>
      <c r="B113" s="2" t="n"/>
      <c r="C113" s="2">
        <f>COUNT(E113:G113)</f>
        <v/>
      </c>
      <c r="D113" s="2" t="inlineStr">
        <is>
          <t>Vybe</t>
        </is>
      </c>
      <c r="E113" s="2" t="n">
        <v>20</v>
      </c>
      <c r="F113" s="2" t="n"/>
      <c r="G113" s="2" t="n"/>
      <c r="H113" s="8" t="n">
        <v>70.93052589107731</v>
      </c>
      <c r="I113" s="8" t="n"/>
      <c r="J113" s="8" t="n"/>
      <c r="K113" s="8">
        <f>IF(COUNT(H113:J113)&gt;=2,MAX(H113:J113)-MIN(H113:J113),"")</f>
        <v/>
      </c>
      <c r="L113" s="9">
        <f>IF(ISNUMBER(K113),IF(MAX(ABS(MAX(H113:J113)),ABS(MIN(H113:J113)))=0,"",K113/MAX(ABS(MAX(H113:J113)),ABS(MIN(H113:J113)))),"")</f>
        <v/>
      </c>
      <c r="M113" s="2">
        <f>IF(AND(ISNUMBER(K113),ISNUMBER(L113)),IF(AND(K113&gt;=Ringkasan!$B$10,L113&gt;=Ringkasan!$B$11),"yes",""),"")</f>
        <v/>
      </c>
      <c r="N113" s="2" t="inlineStr">
        <is>
          <t>Vybe</t>
        </is>
      </c>
      <c r="O113" s="2" t="n"/>
      <c r="P113" s="2" t="n"/>
      <c r="S113" s="2" t="n"/>
      <c r="T113" s="2" t="n">
        <v>21</v>
      </c>
    </row>
    <row r="114">
      <c r="A114" s="2" t="inlineStr">
        <is>
          <t>EQaxqKT3N981QBmdSUGNzAGK5S26zUwAdRHhBCgn87zD</t>
        </is>
      </c>
      <c r="B114" s="2" t="inlineStr">
        <is>
          <t>jamessmith</t>
        </is>
      </c>
      <c r="C114" s="2">
        <f>COUNT(E114:G114)</f>
        <v/>
      </c>
      <c r="D114" s="2" t="inlineStr">
        <is>
          <t>Vybe</t>
        </is>
      </c>
      <c r="E114" s="2" t="n">
        <v>21</v>
      </c>
      <c r="F114" s="2" t="n"/>
      <c r="G114" s="2" t="n"/>
      <c r="H114" s="8" t="n">
        <v>53.70730031992182</v>
      </c>
      <c r="I114" s="8" t="n"/>
      <c r="J114" s="8" t="n"/>
      <c r="K114" s="8">
        <f>IF(COUNT(H114:J114)&gt;=2,MAX(H114:J114)-MIN(H114:J114),"")</f>
        <v/>
      </c>
      <c r="L114" s="9">
        <f>IF(ISNUMBER(K114),IF(MAX(ABS(MAX(H114:J114)),ABS(MIN(H114:J114)))=0,"",K114/MAX(ABS(MAX(H114:J114)),ABS(MIN(H114:J114)))),"")</f>
        <v/>
      </c>
      <c r="M114" s="2">
        <f>IF(AND(ISNUMBER(K114),ISNUMBER(L114)),IF(AND(K114&gt;=Ringkasan!$B$10,L114&gt;=Ringkasan!$B$11),"yes",""),"")</f>
        <v/>
      </c>
      <c r="N114" s="2" t="inlineStr">
        <is>
          <t>Vybe</t>
        </is>
      </c>
      <c r="O114" s="2" t="n"/>
      <c r="P114" s="2" t="inlineStr">
        <is>
          <t>KOL</t>
        </is>
      </c>
      <c r="S114" s="2" t="n"/>
      <c r="T114" s="2" t="n">
        <v>22</v>
      </c>
    </row>
    <row r="115">
      <c r="A115" s="2" t="inlineStr">
        <is>
          <t>9WgWgxxqgvYjNHeHm3Nci2JmF35hTf7Ri3qX2gV2fivX</t>
        </is>
      </c>
      <c r="B115" s="2" t="n"/>
      <c r="C115" s="2">
        <f>COUNT(E115:G115)</f>
        <v/>
      </c>
      <c r="D115" s="2" t="inlineStr">
        <is>
          <t>Vybe</t>
        </is>
      </c>
      <c r="E115" s="2" t="n">
        <v>22</v>
      </c>
      <c r="F115" s="2" t="n"/>
      <c r="G115" s="2" t="n"/>
      <c r="H115" s="8" t="n">
        <v>50.47495922385418</v>
      </c>
      <c r="I115" s="8" t="n"/>
      <c r="J115" s="8" t="n"/>
      <c r="K115" s="8">
        <f>IF(COUNT(H115:J115)&gt;=2,MAX(H115:J115)-MIN(H115:J115),"")</f>
        <v/>
      </c>
      <c r="L115" s="9">
        <f>IF(ISNUMBER(K115),IF(MAX(ABS(MAX(H115:J115)),ABS(MIN(H115:J115)))=0,"",K115/MAX(ABS(MAX(H115:J115)),ABS(MIN(H115:J115)))),"")</f>
        <v/>
      </c>
      <c r="M115" s="2">
        <f>IF(AND(ISNUMBER(K115),ISNUMBER(L115)),IF(AND(K115&gt;=Ringkasan!$B$10,L115&gt;=Ringkasan!$B$11),"yes",""),"")</f>
        <v/>
      </c>
      <c r="N115" s="2" t="inlineStr">
        <is>
          <t>Vybe</t>
        </is>
      </c>
      <c r="O115" s="2" t="n"/>
      <c r="P115" s="2" t="n"/>
      <c r="S115" s="2" t="n"/>
      <c r="T115" s="2" t="n">
        <v>23</v>
      </c>
    </row>
    <row r="116">
      <c r="A116" s="2" t="inlineStr">
        <is>
          <t>DW21bL8PyH1dNKtJBMLSZ227iyKT1kUzWHJV55hKNhf6</t>
        </is>
      </c>
      <c r="B116" s="2" t="n"/>
      <c r="C116" s="2">
        <f>COUNT(E116:G116)</f>
        <v/>
      </c>
      <c r="D116" s="2" t="inlineStr">
        <is>
          <t>Vybe</t>
        </is>
      </c>
      <c r="E116" s="2" t="n">
        <v>23</v>
      </c>
      <c r="F116" s="2" t="n"/>
      <c r="G116" s="2" t="n"/>
      <c r="H116" s="8" t="n">
        <v>39.87288938622752</v>
      </c>
      <c r="I116" s="8" t="n"/>
      <c r="J116" s="8" t="n"/>
      <c r="K116" s="8">
        <f>IF(COUNT(H116:J116)&gt;=2,MAX(H116:J116)-MIN(H116:J116),"")</f>
        <v/>
      </c>
      <c r="L116" s="9">
        <f>IF(ISNUMBER(K116),IF(MAX(ABS(MAX(H116:J116)),ABS(MIN(H116:J116)))=0,"",K116/MAX(ABS(MAX(H116:J116)),ABS(MIN(H116:J116)))),"")</f>
        <v/>
      </c>
      <c r="M116" s="2">
        <f>IF(AND(ISNUMBER(K116),ISNUMBER(L116)),IF(AND(K116&gt;=Ringkasan!$B$10,L116&gt;=Ringkasan!$B$11),"yes",""),"")</f>
        <v/>
      </c>
      <c r="N116" s="2" t="inlineStr">
        <is>
          <t>Vybe</t>
        </is>
      </c>
      <c r="O116" s="2" t="n"/>
      <c r="P116" s="2" t="n"/>
      <c r="S116" s="2" t="n"/>
      <c r="T116" s="2" t="n">
        <v>24</v>
      </c>
    </row>
    <row r="117">
      <c r="A117" s="2" t="inlineStr">
        <is>
          <t>7Js5gmq57y9jG2sseKrAeJt3vbncSWSFFHDEsyJDnyVm</t>
        </is>
      </c>
      <c r="B117" s="2" t="inlineStr">
        <is>
          <t>Yami 𓃵</t>
        </is>
      </c>
      <c r="C117" s="2">
        <f>COUNT(E117:G117)</f>
        <v/>
      </c>
      <c r="D117" s="2" t="inlineStr">
        <is>
          <t>Vybe</t>
        </is>
      </c>
      <c r="E117" s="2" t="n">
        <v>24</v>
      </c>
      <c r="F117" s="2" t="n"/>
      <c r="G117" s="2" t="n"/>
      <c r="H117" s="8" t="n">
        <v>35.64114915227013</v>
      </c>
      <c r="I117" s="8" t="n"/>
      <c r="J117" s="8" t="n"/>
      <c r="K117" s="8">
        <f>IF(COUNT(H117:J117)&gt;=2,MAX(H117:J117)-MIN(H117:J117),"")</f>
        <v/>
      </c>
      <c r="L117" s="9">
        <f>IF(ISNUMBER(K117),IF(MAX(ABS(MAX(H117:J117)),ABS(MIN(H117:J117)))=0,"",K117/MAX(ABS(MAX(H117:J117)),ABS(MIN(H117:J117)))),"")</f>
        <v/>
      </c>
      <c r="M117" s="2">
        <f>IF(AND(ISNUMBER(K117),ISNUMBER(L117)),IF(AND(K117&gt;=Ringkasan!$B$10,L117&gt;=Ringkasan!$B$11),"yes",""),"")</f>
        <v/>
      </c>
      <c r="N117" s="2" t="inlineStr">
        <is>
          <t>Vybe</t>
        </is>
      </c>
      <c r="O117" s="2" t="n"/>
      <c r="P117" s="2" t="inlineStr">
        <is>
          <t>KOL</t>
        </is>
      </c>
      <c r="S117" s="2" t="n"/>
      <c r="T117" s="2" t="n">
        <v>25</v>
      </c>
    </row>
    <row r="118">
      <c r="A118" s="2" t="inlineStr">
        <is>
          <t>DzgANUkdPBYCN2Z65aVMsMWPNNJT9c4KhBTXtBwzaPnH</t>
        </is>
      </c>
      <c r="B118" s="2" t="n"/>
      <c r="C118" s="2">
        <f>COUNT(E118:G118)</f>
        <v/>
      </c>
      <c r="D118" s="2" t="inlineStr">
        <is>
          <t>Vybe</t>
        </is>
      </c>
      <c r="E118" s="2" t="n">
        <v>25</v>
      </c>
      <c r="F118" s="2" t="n"/>
      <c r="G118" s="2" t="n"/>
      <c r="H118" s="8" t="n">
        <v>29.71858832452806</v>
      </c>
      <c r="I118" s="8" t="n"/>
      <c r="J118" s="8" t="n"/>
      <c r="K118" s="8">
        <f>IF(COUNT(H118:J118)&gt;=2,MAX(H118:J118)-MIN(H118:J118),"")</f>
        <v/>
      </c>
      <c r="L118" s="9">
        <f>IF(ISNUMBER(K118),IF(MAX(ABS(MAX(H118:J118)),ABS(MIN(H118:J118)))=0,"",K118/MAX(ABS(MAX(H118:J118)),ABS(MIN(H118:J118)))),"")</f>
        <v/>
      </c>
      <c r="M118" s="2">
        <f>IF(AND(ISNUMBER(K118),ISNUMBER(L118)),IF(AND(K118&gt;=Ringkasan!$B$10,L118&gt;=Ringkasan!$B$11),"yes",""),"")</f>
        <v/>
      </c>
      <c r="N118" s="2" t="inlineStr">
        <is>
          <t>Vybe</t>
        </is>
      </c>
      <c r="O118" s="2" t="n"/>
      <c r="P118" s="2" t="n"/>
      <c r="S118" s="2" t="n"/>
      <c r="T118" s="2" t="n">
        <v>26</v>
      </c>
    </row>
    <row r="119">
      <c r="A119" s="2" t="inlineStr">
        <is>
          <t>Dw54DCQwJMNegyF2MJFrhevgeuNxkFZ4FNp1yGgycHN9</t>
        </is>
      </c>
      <c r="B119" s="2" t="n"/>
      <c r="C119" s="2">
        <f>COUNT(E119:G119)</f>
        <v/>
      </c>
      <c r="D119" s="2" t="inlineStr">
        <is>
          <t>Vybe</t>
        </is>
      </c>
      <c r="E119" s="2" t="n">
        <v>26</v>
      </c>
      <c r="F119" s="2" t="n"/>
      <c r="G119" s="2" t="n"/>
      <c r="H119" s="8" t="n">
        <v>25.68694640282118</v>
      </c>
      <c r="I119" s="8" t="n"/>
      <c r="J119" s="8" t="n"/>
      <c r="K119" s="8">
        <f>IF(COUNT(H119:J119)&gt;=2,MAX(H119:J119)-MIN(H119:J119),"")</f>
        <v/>
      </c>
      <c r="L119" s="9">
        <f>IF(ISNUMBER(K119),IF(MAX(ABS(MAX(H119:J119)),ABS(MIN(H119:J119)))=0,"",K119/MAX(ABS(MAX(H119:J119)),ABS(MIN(H119:J119)))),"")</f>
        <v/>
      </c>
      <c r="M119" s="2">
        <f>IF(AND(ISNUMBER(K119),ISNUMBER(L119)),IF(AND(K119&gt;=Ringkasan!$B$10,L119&gt;=Ringkasan!$B$11),"yes",""),"")</f>
        <v/>
      </c>
      <c r="N119" s="2" t="inlineStr">
        <is>
          <t>Vybe</t>
        </is>
      </c>
      <c r="O119" s="2" t="n"/>
      <c r="P119" s="2" t="n"/>
      <c r="S119" s="2" t="n"/>
      <c r="T119" s="2" t="n">
        <v>27</v>
      </c>
    </row>
    <row r="120">
      <c r="A120" s="2" t="inlineStr">
        <is>
          <t>GXhR4ax3eUuKFgqo5z7nSusD4PCbZ6Q2dobuy6taM4wb</t>
        </is>
      </c>
      <c r="B120" s="2" t="n"/>
      <c r="C120" s="2">
        <f>COUNT(E120:G120)</f>
        <v/>
      </c>
      <c r="D120" s="2" t="inlineStr">
        <is>
          <t>Vybe</t>
        </is>
      </c>
      <c r="E120" s="2" t="n">
        <v>27</v>
      </c>
      <c r="F120" s="2" t="n"/>
      <c r="G120" s="2" t="n"/>
      <c r="H120" s="8" t="n">
        <v>24.08980149932816</v>
      </c>
      <c r="I120" s="8" t="n"/>
      <c r="J120" s="8" t="n"/>
      <c r="K120" s="8">
        <f>IF(COUNT(H120:J120)&gt;=2,MAX(H120:J120)-MIN(H120:J120),"")</f>
        <v/>
      </c>
      <c r="L120" s="9">
        <f>IF(ISNUMBER(K120),IF(MAX(ABS(MAX(H120:J120)),ABS(MIN(H120:J120)))=0,"",K120/MAX(ABS(MAX(H120:J120)),ABS(MIN(H120:J120)))),"")</f>
        <v/>
      </c>
      <c r="M120" s="2">
        <f>IF(AND(ISNUMBER(K120),ISNUMBER(L120)),IF(AND(K120&gt;=Ringkasan!$B$10,L120&gt;=Ringkasan!$B$11),"yes",""),"")</f>
        <v/>
      </c>
      <c r="N120" s="2" t="inlineStr">
        <is>
          <t>Vybe</t>
        </is>
      </c>
      <c r="O120" s="2" t="n"/>
      <c r="P120" s="2" t="n"/>
      <c r="S120" s="2" t="n"/>
      <c r="T120" s="2" t="n">
        <v>28</v>
      </c>
    </row>
    <row r="121">
      <c r="A121" s="2" t="inlineStr">
        <is>
          <t>99i9uVA7Q56bY22ajKKUfTZTgTeP5yCtVGsrG9J4pDYQ</t>
        </is>
      </c>
      <c r="B121" s="2" t="inlineStr">
        <is>
          <t>Zrool 尔</t>
        </is>
      </c>
      <c r="C121" s="2">
        <f>COUNT(E121:G121)</f>
        <v/>
      </c>
      <c r="D121" s="2" t="inlineStr">
        <is>
          <t>Vybe</t>
        </is>
      </c>
      <c r="E121" s="2" t="n">
        <v>28</v>
      </c>
      <c r="F121" s="2" t="n"/>
      <c r="G121" s="2" t="n"/>
      <c r="H121" s="8" t="n">
        <v>23.7978302175609</v>
      </c>
      <c r="I121" s="8" t="n"/>
      <c r="J121" s="8" t="n"/>
      <c r="K121" s="8">
        <f>IF(COUNT(H121:J121)&gt;=2,MAX(H121:J121)-MIN(H121:J121),"")</f>
        <v/>
      </c>
      <c r="L121" s="9">
        <f>IF(ISNUMBER(K121),IF(MAX(ABS(MAX(H121:J121)),ABS(MIN(H121:J121)))=0,"",K121/MAX(ABS(MAX(H121:J121)),ABS(MIN(H121:J121)))),"")</f>
        <v/>
      </c>
      <c r="M121" s="2">
        <f>IF(AND(ISNUMBER(K121),ISNUMBER(L121)),IF(AND(K121&gt;=Ringkasan!$B$10,L121&gt;=Ringkasan!$B$11),"yes",""),"")</f>
        <v/>
      </c>
      <c r="N121" s="2" t="inlineStr">
        <is>
          <t>Vybe</t>
        </is>
      </c>
      <c r="O121" s="2" t="n"/>
      <c r="P121" s="2" t="inlineStr">
        <is>
          <t>KOL</t>
        </is>
      </c>
      <c r="S121" s="2" t="n"/>
      <c r="T121" s="2" t="n">
        <v>29</v>
      </c>
    </row>
    <row r="122">
      <c r="A122" s="2" t="inlineStr">
        <is>
          <t>EB1pXGLBpyTEWGNZVgw1rcuhSYAk2dkwnRx9r1A6QWME</t>
        </is>
      </c>
      <c r="B122" s="2" t="n"/>
      <c r="C122" s="2">
        <f>COUNT(E122:G122)</f>
        <v/>
      </c>
      <c r="D122" s="2" t="inlineStr">
        <is>
          <t>Vybe</t>
        </is>
      </c>
      <c r="E122" s="2" t="n">
        <v>29</v>
      </c>
      <c r="F122" s="2" t="n"/>
      <c r="G122" s="2" t="n"/>
      <c r="H122" s="8" t="n">
        <v>23.36355017800966</v>
      </c>
      <c r="I122" s="8" t="n"/>
      <c r="J122" s="8" t="n"/>
      <c r="K122" s="8">
        <f>IF(COUNT(H122:J122)&gt;=2,MAX(H122:J122)-MIN(H122:J122),"")</f>
        <v/>
      </c>
      <c r="L122" s="9">
        <f>IF(ISNUMBER(K122),IF(MAX(ABS(MAX(H122:J122)),ABS(MIN(H122:J122)))=0,"",K122/MAX(ABS(MAX(H122:J122)),ABS(MIN(H122:J122)))),"")</f>
        <v/>
      </c>
      <c r="M122" s="2">
        <f>IF(AND(ISNUMBER(K122),ISNUMBER(L122)),IF(AND(K122&gt;=Ringkasan!$B$10,L122&gt;=Ringkasan!$B$11),"yes",""),"")</f>
        <v/>
      </c>
      <c r="N122" s="2" t="inlineStr">
        <is>
          <t>Vybe</t>
        </is>
      </c>
      <c r="O122" s="2" t="n"/>
      <c r="P122" s="2" t="n"/>
      <c r="S122" s="2" t="n"/>
      <c r="T122" s="2" t="n">
        <v>30</v>
      </c>
    </row>
    <row r="123">
      <c r="A123" s="2" t="inlineStr">
        <is>
          <t>DZyGibU23LEkE2452Pr6YKdz1W6wA2jmhVfHSZNTEx4N</t>
        </is>
      </c>
      <c r="B123" s="2" t="n"/>
      <c r="C123" s="2">
        <f>COUNT(E123:G123)</f>
        <v/>
      </c>
      <c r="D123" s="2" t="inlineStr">
        <is>
          <t>Vybe</t>
        </is>
      </c>
      <c r="E123" s="2" t="n">
        <v>30</v>
      </c>
      <c r="F123" s="2" t="n"/>
      <c r="G123" s="2" t="n"/>
      <c r="H123" s="8" t="n">
        <v>23.07478598844423</v>
      </c>
      <c r="I123" s="8" t="n"/>
      <c r="J123" s="8" t="n"/>
      <c r="K123" s="8">
        <f>IF(COUNT(H123:J123)&gt;=2,MAX(H123:J123)-MIN(H123:J123),"")</f>
        <v/>
      </c>
      <c r="L123" s="9">
        <f>IF(ISNUMBER(K123),IF(MAX(ABS(MAX(H123:J123)),ABS(MIN(H123:J123)))=0,"",K123/MAX(ABS(MAX(H123:J123)),ABS(MIN(H123:J123)))),"")</f>
        <v/>
      </c>
      <c r="M123" s="2">
        <f>IF(AND(ISNUMBER(K123),ISNUMBER(L123)),IF(AND(K123&gt;=Ringkasan!$B$10,L123&gt;=Ringkasan!$B$11),"yes",""),"")</f>
        <v/>
      </c>
      <c r="N123" s="2" t="inlineStr">
        <is>
          <t>Vybe</t>
        </is>
      </c>
      <c r="O123" s="2" t="n"/>
      <c r="P123" s="2" t="n"/>
      <c r="S123" s="2" t="n"/>
      <c r="T123" s="2" t="n">
        <v>31</v>
      </c>
    </row>
    <row r="124">
      <c r="A124" s="2" t="inlineStr">
        <is>
          <t>6p4MnFpQv8yf1xJhvQDnUDKbBKzyPnGx9KffmWvUYpt1</t>
        </is>
      </c>
      <c r="B124" s="2" t="n"/>
      <c r="C124" s="2">
        <f>COUNT(E124:G124)</f>
        <v/>
      </c>
      <c r="D124" s="2" t="inlineStr">
        <is>
          <t>Vybe</t>
        </is>
      </c>
      <c r="E124" s="2" t="n">
        <v>31</v>
      </c>
      <c r="F124" s="2" t="n"/>
      <c r="G124" s="2" t="n"/>
      <c r="H124" s="8" t="n">
        <v>21.72565305692503</v>
      </c>
      <c r="I124" s="8" t="n"/>
      <c r="J124" s="8" t="n"/>
      <c r="K124" s="8">
        <f>IF(COUNT(H124:J124)&gt;=2,MAX(H124:J124)-MIN(H124:J124),"")</f>
        <v/>
      </c>
      <c r="L124" s="9">
        <f>IF(ISNUMBER(K124),IF(MAX(ABS(MAX(H124:J124)),ABS(MIN(H124:J124)))=0,"",K124/MAX(ABS(MAX(H124:J124)),ABS(MIN(H124:J124)))),"")</f>
        <v/>
      </c>
      <c r="M124" s="2">
        <f>IF(AND(ISNUMBER(K124),ISNUMBER(L124)),IF(AND(K124&gt;=Ringkasan!$B$10,L124&gt;=Ringkasan!$B$11),"yes",""),"")</f>
        <v/>
      </c>
      <c r="N124" s="2" t="inlineStr">
        <is>
          <t>Vybe</t>
        </is>
      </c>
      <c r="O124" s="2" t="n"/>
      <c r="P124" s="2" t="n"/>
      <c r="S124" s="2" t="n"/>
      <c r="T124" s="2" t="n">
        <v>32</v>
      </c>
    </row>
    <row r="125">
      <c r="A125" s="2" t="inlineStr">
        <is>
          <t>9WY8vHeTvkDvaxEsGg1jz1QbAduggADfX8wL6hykcPna</t>
        </is>
      </c>
      <c r="B125" s="2" t="n"/>
      <c r="C125" s="2">
        <f>COUNT(E125:G125)</f>
        <v/>
      </c>
      <c r="D125" s="2" t="inlineStr">
        <is>
          <t>Vybe</t>
        </is>
      </c>
      <c r="E125" s="2" t="n">
        <v>32</v>
      </c>
      <c r="F125" s="2" t="n"/>
      <c r="G125" s="2" t="n"/>
      <c r="H125" s="8" t="n">
        <v>18.63272184485857</v>
      </c>
      <c r="I125" s="8" t="n"/>
      <c r="J125" s="8" t="n"/>
      <c r="K125" s="8">
        <f>IF(COUNT(H125:J125)&gt;=2,MAX(H125:J125)-MIN(H125:J125),"")</f>
        <v/>
      </c>
      <c r="L125" s="9">
        <f>IF(ISNUMBER(K125),IF(MAX(ABS(MAX(H125:J125)),ABS(MIN(H125:J125)))=0,"",K125/MAX(ABS(MAX(H125:J125)),ABS(MIN(H125:J125)))),"")</f>
        <v/>
      </c>
      <c r="M125" s="2">
        <f>IF(AND(ISNUMBER(K125),ISNUMBER(L125)),IF(AND(K125&gt;=Ringkasan!$B$10,L125&gt;=Ringkasan!$B$11),"yes",""),"")</f>
        <v/>
      </c>
      <c r="N125" s="2" t="inlineStr">
        <is>
          <t>Vybe</t>
        </is>
      </c>
      <c r="O125" s="2" t="n"/>
      <c r="P125" s="2" t="n"/>
      <c r="S125" s="2" t="n"/>
      <c r="T125" s="2" t="n">
        <v>33</v>
      </c>
    </row>
    <row r="126">
      <c r="A126" s="2" t="inlineStr">
        <is>
          <t>4e4rn7UpaRcjK3BFsZijz9schkQEB3boKKdW9824GHp6</t>
        </is>
      </c>
      <c r="B126" s="2" t="n"/>
      <c r="C126" s="2">
        <f>COUNT(E126:G126)</f>
        <v/>
      </c>
      <c r="D126" s="2" t="inlineStr">
        <is>
          <t>Vybe</t>
        </is>
      </c>
      <c r="E126" s="2" t="n">
        <v>33</v>
      </c>
      <c r="F126" s="2" t="n"/>
      <c r="G126" s="2" t="n"/>
      <c r="H126" s="8" t="n">
        <v>13.95777632828865</v>
      </c>
      <c r="I126" s="8" t="n"/>
      <c r="J126" s="8" t="n"/>
      <c r="K126" s="8">
        <f>IF(COUNT(H126:J126)&gt;=2,MAX(H126:J126)-MIN(H126:J126),"")</f>
        <v/>
      </c>
      <c r="L126" s="9">
        <f>IF(ISNUMBER(K126),IF(MAX(ABS(MAX(H126:J126)),ABS(MIN(H126:J126)))=0,"",K126/MAX(ABS(MAX(H126:J126)),ABS(MIN(H126:J126)))),"")</f>
        <v/>
      </c>
      <c r="M126" s="2">
        <f>IF(AND(ISNUMBER(K126),ISNUMBER(L126)),IF(AND(K126&gt;=Ringkasan!$B$10,L126&gt;=Ringkasan!$B$11),"yes",""),"")</f>
        <v/>
      </c>
      <c r="N126" s="2" t="inlineStr">
        <is>
          <t>Vybe</t>
        </is>
      </c>
      <c r="O126" s="2" t="n"/>
      <c r="P126" s="2" t="n"/>
      <c r="S126" s="2" t="n"/>
      <c r="T126" s="2" t="n">
        <v>34</v>
      </c>
    </row>
    <row r="127">
      <c r="A127" s="2" t="inlineStr">
        <is>
          <t>G9wcxXBmqaDS1BTLULCdYkWYktqsXTicd5Qyk7DHiYTZ</t>
        </is>
      </c>
      <c r="B127" s="2" t="n"/>
      <c r="C127" s="2">
        <f>COUNT(E127:G127)</f>
        <v/>
      </c>
      <c r="D127" s="2" t="inlineStr">
        <is>
          <t>Vybe</t>
        </is>
      </c>
      <c r="E127" s="2" t="n">
        <v>34</v>
      </c>
      <c r="F127" s="2" t="n"/>
      <c r="G127" s="2" t="n"/>
      <c r="H127" s="8" t="n">
        <v>12.68175594685751</v>
      </c>
      <c r="I127" s="8" t="n"/>
      <c r="J127" s="8" t="n"/>
      <c r="K127" s="8">
        <f>IF(COUNT(H127:J127)&gt;=2,MAX(H127:J127)-MIN(H127:J127),"")</f>
        <v/>
      </c>
      <c r="L127" s="9">
        <f>IF(ISNUMBER(K127),IF(MAX(ABS(MAX(H127:J127)),ABS(MIN(H127:J127)))=0,"",K127/MAX(ABS(MAX(H127:J127)),ABS(MIN(H127:J127)))),"")</f>
        <v/>
      </c>
      <c r="M127" s="2">
        <f>IF(AND(ISNUMBER(K127),ISNUMBER(L127)),IF(AND(K127&gt;=Ringkasan!$B$10,L127&gt;=Ringkasan!$B$11),"yes",""),"")</f>
        <v/>
      </c>
      <c r="N127" s="2" t="inlineStr">
        <is>
          <t>Vybe</t>
        </is>
      </c>
      <c r="O127" s="2" t="n"/>
      <c r="P127" s="2" t="n"/>
      <c r="S127" s="2" t="n"/>
      <c r="T127" s="2" t="n">
        <v>35</v>
      </c>
    </row>
    <row r="128">
      <c r="A128" s="2" t="inlineStr">
        <is>
          <t>3J4mqL4tY6SyTWu9gPs4KFaX54TZZJNNfzxxjFGDQzUN</t>
        </is>
      </c>
      <c r="B128" s="2" t="n"/>
      <c r="C128" s="2">
        <f>COUNT(E128:G128)</f>
        <v/>
      </c>
      <c r="D128" s="2" t="inlineStr">
        <is>
          <t>Vybe</t>
        </is>
      </c>
      <c r="E128" s="2" t="n">
        <v>35</v>
      </c>
      <c r="F128" s="2" t="n"/>
      <c r="G128" s="2" t="n"/>
      <c r="H128" s="8" t="n">
        <v>12.39712676295787</v>
      </c>
      <c r="I128" s="8" t="n"/>
      <c r="J128" s="8" t="n"/>
      <c r="K128" s="8">
        <f>IF(COUNT(H128:J128)&gt;=2,MAX(H128:J128)-MIN(H128:J128),"")</f>
        <v/>
      </c>
      <c r="L128" s="9">
        <f>IF(ISNUMBER(K128),IF(MAX(ABS(MAX(H128:J128)),ABS(MIN(H128:J128)))=0,"",K128/MAX(ABS(MAX(H128:J128)),ABS(MIN(H128:J128)))),"")</f>
        <v/>
      </c>
      <c r="M128" s="2">
        <f>IF(AND(ISNUMBER(K128),ISNUMBER(L128)),IF(AND(K128&gt;=Ringkasan!$B$10,L128&gt;=Ringkasan!$B$11),"yes",""),"")</f>
        <v/>
      </c>
      <c r="N128" s="2" t="inlineStr">
        <is>
          <t>Vybe</t>
        </is>
      </c>
      <c r="O128" s="2" t="n"/>
      <c r="P128" s="2" t="n"/>
      <c r="S128" s="2" t="n"/>
      <c r="T128" s="2" t="n">
        <v>36</v>
      </c>
    </row>
    <row r="129">
      <c r="A129" s="2" t="inlineStr">
        <is>
          <t>D8pdbmmivyt3UY7tZcjfQPMsLfNZTYdYpu1MFd17jxiX</t>
        </is>
      </c>
      <c r="B129" s="2" t="n"/>
      <c r="C129" s="2">
        <f>COUNT(E129:G129)</f>
        <v/>
      </c>
      <c r="D129" s="2" t="inlineStr">
        <is>
          <t>Vybe</t>
        </is>
      </c>
      <c r="E129" s="2" t="n">
        <v>36</v>
      </c>
      <c r="F129" s="2" t="n"/>
      <c r="G129" s="2" t="n"/>
      <c r="H129" s="8" t="n">
        <v>11.46663954591164</v>
      </c>
      <c r="I129" s="8" t="n"/>
      <c r="J129" s="8" t="n"/>
      <c r="K129" s="8">
        <f>IF(COUNT(H129:J129)&gt;=2,MAX(H129:J129)-MIN(H129:J129),"")</f>
        <v/>
      </c>
      <c r="L129" s="9">
        <f>IF(ISNUMBER(K129),IF(MAX(ABS(MAX(H129:J129)),ABS(MIN(H129:J129)))=0,"",K129/MAX(ABS(MAX(H129:J129)),ABS(MIN(H129:J129)))),"")</f>
        <v/>
      </c>
      <c r="M129" s="2">
        <f>IF(AND(ISNUMBER(K129),ISNUMBER(L129)),IF(AND(K129&gt;=Ringkasan!$B$10,L129&gt;=Ringkasan!$B$11),"yes",""),"")</f>
        <v/>
      </c>
      <c r="N129" s="2" t="inlineStr">
        <is>
          <t>Vybe</t>
        </is>
      </c>
      <c r="O129" s="2" t="n"/>
      <c r="P129" s="2" t="n"/>
      <c r="S129" s="2" t="n"/>
      <c r="T129" s="2" t="n">
        <v>37</v>
      </c>
    </row>
    <row r="130">
      <c r="A130" s="2" t="inlineStr">
        <is>
          <t>FKFyY4cmnShXswyh7QizNdEDznqegQMEdAZcvkUiZLSk</t>
        </is>
      </c>
      <c r="B130" s="2" t="n"/>
      <c r="C130" s="2">
        <f>COUNT(E130:G130)</f>
        <v/>
      </c>
      <c r="D130" s="2" t="inlineStr">
        <is>
          <t>Vybe</t>
        </is>
      </c>
      <c r="E130" s="2" t="n">
        <v>37</v>
      </c>
      <c r="F130" s="2" t="n"/>
      <c r="G130" s="2" t="n"/>
      <c r="H130" s="8" t="n">
        <v>10.47400937420795</v>
      </c>
      <c r="I130" s="8" t="n"/>
      <c r="J130" s="8" t="n"/>
      <c r="K130" s="8">
        <f>IF(COUNT(H130:J130)&gt;=2,MAX(H130:J130)-MIN(H130:J130),"")</f>
        <v/>
      </c>
      <c r="L130" s="9">
        <f>IF(ISNUMBER(K130),IF(MAX(ABS(MAX(H130:J130)),ABS(MIN(H130:J130)))=0,"",K130/MAX(ABS(MAX(H130:J130)),ABS(MIN(H130:J130)))),"")</f>
        <v/>
      </c>
      <c r="M130" s="2">
        <f>IF(AND(ISNUMBER(K130),ISNUMBER(L130)),IF(AND(K130&gt;=Ringkasan!$B$10,L130&gt;=Ringkasan!$B$11),"yes",""),"")</f>
        <v/>
      </c>
      <c r="N130" s="2" t="inlineStr">
        <is>
          <t>Vybe</t>
        </is>
      </c>
      <c r="O130" s="2" t="n"/>
      <c r="P130" s="2" t="n"/>
      <c r="S130" s="2" t="n"/>
      <c r="T130" s="2" t="n">
        <v>38</v>
      </c>
    </row>
    <row r="131">
      <c r="A131" s="2" t="inlineStr">
        <is>
          <t>4vXxDXZ6cbnpG8gRFxw4UxrHa5W5nW1xE1zmWfU9b9PK</t>
        </is>
      </c>
      <c r="B131" s="2" t="n"/>
      <c r="C131" s="2">
        <f>COUNT(E131:G131)</f>
        <v/>
      </c>
      <c r="D131" s="2" t="inlineStr">
        <is>
          <t>Vybe</t>
        </is>
      </c>
      <c r="E131" s="2" t="n">
        <v>38</v>
      </c>
      <c r="F131" s="2" t="n"/>
      <c r="G131" s="2" t="n"/>
      <c r="H131" s="8" t="n">
        <v>9.463115016199101</v>
      </c>
      <c r="I131" s="8" t="n"/>
      <c r="J131" s="8" t="n"/>
      <c r="K131" s="8">
        <f>IF(COUNT(H131:J131)&gt;=2,MAX(H131:J131)-MIN(H131:J131),"")</f>
        <v/>
      </c>
      <c r="L131" s="9">
        <f>IF(ISNUMBER(K131),IF(MAX(ABS(MAX(H131:J131)),ABS(MIN(H131:J131)))=0,"",K131/MAX(ABS(MAX(H131:J131)),ABS(MIN(H131:J131)))),"")</f>
        <v/>
      </c>
      <c r="M131" s="2">
        <f>IF(AND(ISNUMBER(K131),ISNUMBER(L131)),IF(AND(K131&gt;=Ringkasan!$B$10,L131&gt;=Ringkasan!$B$11),"yes",""),"")</f>
        <v/>
      </c>
      <c r="N131" s="2" t="inlineStr">
        <is>
          <t>Vybe</t>
        </is>
      </c>
      <c r="O131" s="2" t="n"/>
      <c r="P131" s="2" t="n"/>
      <c r="S131" s="2" t="n"/>
      <c r="T131" s="2" t="n">
        <v>39</v>
      </c>
    </row>
    <row r="132">
      <c r="A132" s="2" t="inlineStr">
        <is>
          <t>5GW4Gk5JbkHxiyrXeuBejCeVnK7GSTyMcQ5Wf3jD1Qnt</t>
        </is>
      </c>
      <c r="B132" s="2" t="n"/>
      <c r="C132" s="2">
        <f>COUNT(E132:G132)</f>
        <v/>
      </c>
      <c r="D132" s="2" t="inlineStr">
        <is>
          <t>Vybe</t>
        </is>
      </c>
      <c r="E132" s="2" t="n">
        <v>39</v>
      </c>
      <c r="F132" s="2" t="n"/>
      <c r="G132" s="2" t="n"/>
      <c r="H132" s="8" t="n">
        <v>8.237867183940548</v>
      </c>
      <c r="I132" s="8" t="n"/>
      <c r="J132" s="8" t="n"/>
      <c r="K132" s="8">
        <f>IF(COUNT(H132:J132)&gt;=2,MAX(H132:J132)-MIN(H132:J132),"")</f>
        <v/>
      </c>
      <c r="L132" s="9">
        <f>IF(ISNUMBER(K132),IF(MAX(ABS(MAX(H132:J132)),ABS(MIN(H132:J132)))=0,"",K132/MAX(ABS(MAX(H132:J132)),ABS(MIN(H132:J132)))),"")</f>
        <v/>
      </c>
      <c r="M132" s="2">
        <f>IF(AND(ISNUMBER(K132),ISNUMBER(L132)),IF(AND(K132&gt;=Ringkasan!$B$10,L132&gt;=Ringkasan!$B$11),"yes",""),"")</f>
        <v/>
      </c>
      <c r="N132" s="2" t="inlineStr">
        <is>
          <t>Vybe</t>
        </is>
      </c>
      <c r="O132" s="2" t="n"/>
      <c r="P132" s="2" t="n"/>
      <c r="S132" s="2" t="n"/>
      <c r="T132" s="2" t="n">
        <v>40</v>
      </c>
    </row>
    <row r="133">
      <c r="A133" s="2" t="inlineStr">
        <is>
          <t>Dpdypk8iiysF2CoXjLZULgWjdVU7cG3w8tnYUyRFP7W4</t>
        </is>
      </c>
      <c r="B133" s="2" t="n"/>
      <c r="C133" s="2">
        <f>COUNT(E133:G133)</f>
        <v/>
      </c>
      <c r="D133" s="2" t="inlineStr">
        <is>
          <t>Vybe</t>
        </is>
      </c>
      <c r="E133" s="2" t="n">
        <v>40</v>
      </c>
      <c r="F133" s="2" t="n"/>
      <c r="G133" s="2" t="n"/>
      <c r="H133" s="8" t="n">
        <v>8.204415266403817</v>
      </c>
      <c r="I133" s="8" t="n"/>
      <c r="J133" s="8" t="n"/>
      <c r="K133" s="8">
        <f>IF(COUNT(H133:J133)&gt;=2,MAX(H133:J133)-MIN(H133:J133),"")</f>
        <v/>
      </c>
      <c r="L133" s="9">
        <f>IF(ISNUMBER(K133),IF(MAX(ABS(MAX(H133:J133)),ABS(MIN(H133:J133)))=0,"",K133/MAX(ABS(MAX(H133:J133)),ABS(MIN(H133:J133)))),"")</f>
        <v/>
      </c>
      <c r="M133" s="2">
        <f>IF(AND(ISNUMBER(K133),ISNUMBER(L133)),IF(AND(K133&gt;=Ringkasan!$B$10,L133&gt;=Ringkasan!$B$11),"yes",""),"")</f>
        <v/>
      </c>
      <c r="N133" s="2" t="inlineStr">
        <is>
          <t>Vybe</t>
        </is>
      </c>
      <c r="O133" s="2" t="n"/>
      <c r="P133" s="2" t="n"/>
      <c r="S133" s="2" t="n"/>
      <c r="T133" s="2" t="n">
        <v>41</v>
      </c>
    </row>
    <row r="134">
      <c r="A134" s="2" t="inlineStr">
        <is>
          <t>HLyw5A1WFAsutwA7EPwFg1URdTKrM2wFtJ8uudsPdfgy</t>
        </is>
      </c>
      <c r="B134" s="2" t="n"/>
      <c r="C134" s="2">
        <f>COUNT(E134:G134)</f>
        <v/>
      </c>
      <c r="D134" s="2" t="inlineStr">
        <is>
          <t>Vybe</t>
        </is>
      </c>
      <c r="E134" s="2" t="n">
        <v>41</v>
      </c>
      <c r="F134" s="2" t="n"/>
      <c r="G134" s="2" t="n"/>
      <c r="H134" s="8" t="n">
        <v>7.383474619935876</v>
      </c>
      <c r="I134" s="8" t="n"/>
      <c r="J134" s="8" t="n"/>
      <c r="K134" s="8">
        <f>IF(COUNT(H134:J134)&gt;=2,MAX(H134:J134)-MIN(H134:J134),"")</f>
        <v/>
      </c>
      <c r="L134" s="9">
        <f>IF(ISNUMBER(K134),IF(MAX(ABS(MAX(H134:J134)),ABS(MIN(H134:J134)))=0,"",K134/MAX(ABS(MAX(H134:J134)),ABS(MIN(H134:J134)))),"")</f>
        <v/>
      </c>
      <c r="M134" s="2">
        <f>IF(AND(ISNUMBER(K134),ISNUMBER(L134)),IF(AND(K134&gt;=Ringkasan!$B$10,L134&gt;=Ringkasan!$B$11),"yes",""),"")</f>
        <v/>
      </c>
      <c r="N134" s="2" t="inlineStr">
        <is>
          <t>Vybe</t>
        </is>
      </c>
      <c r="O134" s="2" t="n"/>
      <c r="P134" s="2" t="n"/>
      <c r="S134" s="2" t="n"/>
      <c r="T134" s="2" t="n">
        <v>42</v>
      </c>
    </row>
    <row r="135">
      <c r="A135" s="2" t="inlineStr">
        <is>
          <t>8yuP1LSauPp7KrsurqmNm1vHSxEGbFh4p5mEy56DzXoG</t>
        </is>
      </c>
      <c r="B135" s="2" t="n"/>
      <c r="C135" s="2">
        <f>COUNT(E135:G135)</f>
        <v/>
      </c>
      <c r="D135" s="2" t="inlineStr">
        <is>
          <t>Vybe</t>
        </is>
      </c>
      <c r="E135" s="2" t="n">
        <v>42</v>
      </c>
      <c r="F135" s="2" t="n"/>
      <c r="G135" s="2" t="n"/>
      <c r="H135" s="8" t="n">
        <v>7.263566569046833</v>
      </c>
      <c r="I135" s="8" t="n"/>
      <c r="J135" s="8" t="n"/>
      <c r="K135" s="8">
        <f>IF(COUNT(H135:J135)&gt;=2,MAX(H135:J135)-MIN(H135:J135),"")</f>
        <v/>
      </c>
      <c r="L135" s="9">
        <f>IF(ISNUMBER(K135),IF(MAX(ABS(MAX(H135:J135)),ABS(MIN(H135:J135)))=0,"",K135/MAX(ABS(MAX(H135:J135)),ABS(MIN(H135:J135)))),"")</f>
        <v/>
      </c>
      <c r="M135" s="2">
        <f>IF(AND(ISNUMBER(K135),ISNUMBER(L135)),IF(AND(K135&gt;=Ringkasan!$B$10,L135&gt;=Ringkasan!$B$11),"yes",""),"")</f>
        <v/>
      </c>
      <c r="N135" s="2" t="inlineStr">
        <is>
          <t>Vybe</t>
        </is>
      </c>
      <c r="O135" s="2" t="n"/>
      <c r="P135" s="2" t="n"/>
      <c r="S135" s="2" t="n"/>
      <c r="T135" s="2" t="n">
        <v>43</v>
      </c>
    </row>
    <row r="136">
      <c r="A136" s="2" t="inlineStr">
        <is>
          <t>APkGv3PxJWbTNc7x5mPGUhNdnq95HH4p2qzxBMj3fjYY</t>
        </is>
      </c>
      <c r="B136" s="2" t="n"/>
      <c r="C136" s="2">
        <f>COUNT(E136:G136)</f>
        <v/>
      </c>
      <c r="D136" s="2" t="inlineStr">
        <is>
          <t>Vybe</t>
        </is>
      </c>
      <c r="E136" s="2" t="n">
        <v>43</v>
      </c>
      <c r="F136" s="2" t="n"/>
      <c r="G136" s="2" t="n"/>
      <c r="H136" s="8" t="n">
        <v>7.256052529588244</v>
      </c>
      <c r="I136" s="8" t="n"/>
      <c r="J136" s="8" t="n"/>
      <c r="K136" s="8">
        <f>IF(COUNT(H136:J136)&gt;=2,MAX(H136:J136)-MIN(H136:J136),"")</f>
        <v/>
      </c>
      <c r="L136" s="9">
        <f>IF(ISNUMBER(K136),IF(MAX(ABS(MAX(H136:J136)),ABS(MIN(H136:J136)))=0,"",K136/MAX(ABS(MAX(H136:J136)),ABS(MIN(H136:J136)))),"")</f>
        <v/>
      </c>
      <c r="M136" s="2">
        <f>IF(AND(ISNUMBER(K136),ISNUMBER(L136)),IF(AND(K136&gt;=Ringkasan!$B$10,L136&gt;=Ringkasan!$B$11),"yes",""),"")</f>
        <v/>
      </c>
      <c r="N136" s="2" t="inlineStr">
        <is>
          <t>Vybe</t>
        </is>
      </c>
      <c r="O136" s="2" t="n"/>
      <c r="P136" s="2" t="n"/>
      <c r="S136" s="2" t="n"/>
      <c r="T136" s="2" t="n">
        <v>44</v>
      </c>
    </row>
    <row r="137">
      <c r="A137" s="2" t="inlineStr">
        <is>
          <t>957fd1n18MARXvx8f7cFLFWiahjoYmnYeMG7ARjrPLvn</t>
        </is>
      </c>
      <c r="B137" s="2" t="n"/>
      <c r="C137" s="2">
        <f>COUNT(E137:G137)</f>
        <v/>
      </c>
      <c r="D137" s="2" t="inlineStr">
        <is>
          <t>Vybe</t>
        </is>
      </c>
      <c r="E137" s="2" t="n">
        <v>44</v>
      </c>
      <c r="F137" s="2" t="n"/>
      <c r="G137" s="2" t="n"/>
      <c r="H137" s="8" t="n">
        <v>7.07102879496752</v>
      </c>
      <c r="I137" s="8" t="n"/>
      <c r="J137" s="8" t="n"/>
      <c r="K137" s="8">
        <f>IF(COUNT(H137:J137)&gt;=2,MAX(H137:J137)-MIN(H137:J137),"")</f>
        <v/>
      </c>
      <c r="L137" s="9">
        <f>IF(ISNUMBER(K137),IF(MAX(ABS(MAX(H137:J137)),ABS(MIN(H137:J137)))=0,"",K137/MAX(ABS(MAX(H137:J137)),ABS(MIN(H137:J137)))),"")</f>
        <v/>
      </c>
      <c r="M137" s="2">
        <f>IF(AND(ISNUMBER(K137),ISNUMBER(L137)),IF(AND(K137&gt;=Ringkasan!$B$10,L137&gt;=Ringkasan!$B$11),"yes",""),"")</f>
        <v/>
      </c>
      <c r="N137" s="2" t="inlineStr">
        <is>
          <t>Vybe</t>
        </is>
      </c>
      <c r="O137" s="2" t="n"/>
      <c r="P137" s="2" t="n"/>
      <c r="S137" s="2" t="n"/>
      <c r="T137" s="2" t="n">
        <v>45</v>
      </c>
    </row>
    <row r="138">
      <c r="A138" s="2" t="inlineStr">
        <is>
          <t>5ygLtFWs5Ry6tQ1CeUXACkaLzBhawKNSS3S4qDtCfe9d</t>
        </is>
      </c>
      <c r="B138" s="2" t="n"/>
      <c r="C138" s="2">
        <f>COUNT(E138:G138)</f>
        <v/>
      </c>
      <c r="D138" s="2" t="inlineStr">
        <is>
          <t>Vybe</t>
        </is>
      </c>
      <c r="E138" s="2" t="n">
        <v>45</v>
      </c>
      <c r="F138" s="2" t="n"/>
      <c r="G138" s="2" t="n"/>
      <c r="H138" s="8" t="n">
        <v>6.706628574157073</v>
      </c>
      <c r="I138" s="8" t="n"/>
      <c r="J138" s="8" t="n"/>
      <c r="K138" s="8">
        <f>IF(COUNT(H138:J138)&gt;=2,MAX(H138:J138)-MIN(H138:J138),"")</f>
        <v/>
      </c>
      <c r="L138" s="9">
        <f>IF(ISNUMBER(K138),IF(MAX(ABS(MAX(H138:J138)),ABS(MIN(H138:J138)))=0,"",K138/MAX(ABS(MAX(H138:J138)),ABS(MIN(H138:J138)))),"")</f>
        <v/>
      </c>
      <c r="M138" s="2">
        <f>IF(AND(ISNUMBER(K138),ISNUMBER(L138)),IF(AND(K138&gt;=Ringkasan!$B$10,L138&gt;=Ringkasan!$B$11),"yes",""),"")</f>
        <v/>
      </c>
      <c r="N138" s="2" t="inlineStr">
        <is>
          <t>Vybe</t>
        </is>
      </c>
      <c r="O138" s="2" t="n"/>
      <c r="P138" s="2" t="n"/>
      <c r="S138" s="2" t="n"/>
      <c r="T138" s="2" t="n">
        <v>46</v>
      </c>
    </row>
    <row r="139">
      <c r="A139" s="2" t="inlineStr">
        <is>
          <t>42BvoA2Won2GHqqbMvZmZKxY3khBryGoGnTdcUjo2nWR</t>
        </is>
      </c>
      <c r="B139" s="2" t="n"/>
      <c r="C139" s="2">
        <f>COUNT(E139:G139)</f>
        <v/>
      </c>
      <c r="D139" s="2" t="inlineStr">
        <is>
          <t>Vybe</t>
        </is>
      </c>
      <c r="E139" s="2" t="n">
        <v>46</v>
      </c>
      <c r="F139" s="2" t="n"/>
      <c r="G139" s="2" t="n"/>
      <c r="H139" s="8" t="n">
        <v>6.16639332254667</v>
      </c>
      <c r="I139" s="8" t="n"/>
      <c r="J139" s="8" t="n"/>
      <c r="K139" s="8">
        <f>IF(COUNT(H139:J139)&gt;=2,MAX(H139:J139)-MIN(H139:J139),"")</f>
        <v/>
      </c>
      <c r="L139" s="9">
        <f>IF(ISNUMBER(K139),IF(MAX(ABS(MAX(H139:J139)),ABS(MIN(H139:J139)))=0,"",K139/MAX(ABS(MAX(H139:J139)),ABS(MIN(H139:J139)))),"")</f>
        <v/>
      </c>
      <c r="M139" s="2">
        <f>IF(AND(ISNUMBER(K139),ISNUMBER(L139)),IF(AND(K139&gt;=Ringkasan!$B$10,L139&gt;=Ringkasan!$B$11),"yes",""),"")</f>
        <v/>
      </c>
      <c r="N139" s="2" t="inlineStr">
        <is>
          <t>Vybe</t>
        </is>
      </c>
      <c r="O139" s="2" t="n"/>
      <c r="P139" s="2" t="n"/>
      <c r="S139" s="2" t="n"/>
      <c r="T139" s="2" t="n">
        <v>47</v>
      </c>
    </row>
    <row r="140">
      <c r="A140" s="2" t="inlineStr">
        <is>
          <t>HbxevZ49jfAAWgt4xJhNrBmVBkvw3QUnx1B6JF1nYxg6</t>
        </is>
      </c>
      <c r="B140" s="2" t="n"/>
      <c r="C140" s="2">
        <f>COUNT(E140:G140)</f>
        <v/>
      </c>
      <c r="D140" s="2" t="inlineStr">
        <is>
          <t>Vybe</t>
        </is>
      </c>
      <c r="E140" s="2" t="n">
        <v>47</v>
      </c>
      <c r="F140" s="2" t="n"/>
      <c r="G140" s="2" t="n"/>
      <c r="H140" s="8" t="n">
        <v>6.08123967729377</v>
      </c>
      <c r="I140" s="8" t="n"/>
      <c r="J140" s="8" t="n"/>
      <c r="K140" s="8">
        <f>IF(COUNT(H140:J140)&gt;=2,MAX(H140:J140)-MIN(H140:J140),"")</f>
        <v/>
      </c>
      <c r="L140" s="9">
        <f>IF(ISNUMBER(K140),IF(MAX(ABS(MAX(H140:J140)),ABS(MIN(H140:J140)))=0,"",K140/MAX(ABS(MAX(H140:J140)),ABS(MIN(H140:J140)))),"")</f>
        <v/>
      </c>
      <c r="M140" s="2">
        <f>IF(AND(ISNUMBER(K140),ISNUMBER(L140)),IF(AND(K140&gt;=Ringkasan!$B$10,L140&gt;=Ringkasan!$B$11),"yes",""),"")</f>
        <v/>
      </c>
      <c r="N140" s="2" t="inlineStr">
        <is>
          <t>Vybe</t>
        </is>
      </c>
      <c r="O140" s="2" t="n"/>
      <c r="P140" s="2" t="n"/>
      <c r="S140" s="2" t="n"/>
      <c r="T140" s="2" t="n">
        <v>48</v>
      </c>
    </row>
    <row r="141">
      <c r="A141" s="2" t="inlineStr">
        <is>
          <t>HNCVXo5g35GvSeZRZ3g7wxYLLp6KcinSzVbkaTAiaoz8</t>
        </is>
      </c>
      <c r="B141" s="2" t="n"/>
      <c r="C141" s="2">
        <f>COUNT(E141:G141)</f>
        <v/>
      </c>
      <c r="D141" s="2" t="inlineStr">
        <is>
          <t>Vybe</t>
        </is>
      </c>
      <c r="E141" s="2" t="n">
        <v>48</v>
      </c>
      <c r="F141" s="2" t="n"/>
      <c r="G141" s="2" t="n"/>
      <c r="H141" s="8" t="n">
        <v>4.890026248737559</v>
      </c>
      <c r="I141" s="8" t="n"/>
      <c r="J141" s="8" t="n"/>
      <c r="K141" s="8">
        <f>IF(COUNT(H141:J141)&gt;=2,MAX(H141:J141)-MIN(H141:J141),"")</f>
        <v/>
      </c>
      <c r="L141" s="9">
        <f>IF(ISNUMBER(K141),IF(MAX(ABS(MAX(H141:J141)),ABS(MIN(H141:J141)))=0,"",K141/MAX(ABS(MAX(H141:J141)),ABS(MIN(H141:J141)))),"")</f>
        <v/>
      </c>
      <c r="M141" s="2">
        <f>IF(AND(ISNUMBER(K141),ISNUMBER(L141)),IF(AND(K141&gt;=Ringkasan!$B$10,L141&gt;=Ringkasan!$B$11),"yes",""),"")</f>
        <v/>
      </c>
      <c r="N141" s="2" t="inlineStr">
        <is>
          <t>Vybe</t>
        </is>
      </c>
      <c r="O141" s="2" t="n"/>
      <c r="P141" s="2" t="n"/>
      <c r="S141" s="2" t="n"/>
      <c r="T141" s="2" t="n">
        <v>49</v>
      </c>
    </row>
    <row r="142">
      <c r="A142" s="2" t="inlineStr">
        <is>
          <t>BnVA2HxUwLQ1PQXBe3LuVQBpdoVBsdbHF2Co6X46M9ZK</t>
        </is>
      </c>
      <c r="B142" s="2" t="n"/>
      <c r="C142" s="2">
        <f>COUNT(E142:G142)</f>
        <v/>
      </c>
      <c r="D142" s="2" t="inlineStr">
        <is>
          <t>Vybe</t>
        </is>
      </c>
      <c r="E142" s="2" t="n">
        <v>49</v>
      </c>
      <c r="F142" s="2" t="n"/>
      <c r="G142" s="2" t="n"/>
      <c r="H142" s="8" t="n">
        <v>4.348617330068471</v>
      </c>
      <c r="I142" s="8" t="n"/>
      <c r="J142" s="8" t="n"/>
      <c r="K142" s="8">
        <f>IF(COUNT(H142:J142)&gt;=2,MAX(H142:J142)-MIN(H142:J142),"")</f>
        <v/>
      </c>
      <c r="L142" s="9">
        <f>IF(ISNUMBER(K142),IF(MAX(ABS(MAX(H142:J142)),ABS(MIN(H142:J142)))=0,"",K142/MAX(ABS(MAX(H142:J142)),ABS(MIN(H142:J142)))),"")</f>
        <v/>
      </c>
      <c r="M142" s="2">
        <f>IF(AND(ISNUMBER(K142),ISNUMBER(L142)),IF(AND(K142&gt;=Ringkasan!$B$10,L142&gt;=Ringkasan!$B$11),"yes",""),"")</f>
        <v/>
      </c>
      <c r="N142" s="2" t="inlineStr">
        <is>
          <t>Vybe</t>
        </is>
      </c>
      <c r="O142" s="2" t="n"/>
      <c r="P142" s="2" t="n"/>
      <c r="S142" s="2" t="n"/>
      <c r="T142" s="2" t="n">
        <v>50</v>
      </c>
    </row>
    <row r="143">
      <c r="A143" s="2" t="inlineStr">
        <is>
          <t>HQviNcCX4dY64tmmFCb1yUN24XZ8NHwkCvABpSu4chKU</t>
        </is>
      </c>
      <c r="B143" s="2" t="n"/>
      <c r="C143" s="2">
        <f>COUNT(E143:G143)</f>
        <v/>
      </c>
      <c r="D143" s="2" t="inlineStr">
        <is>
          <t>Vybe</t>
        </is>
      </c>
      <c r="E143" s="2" t="n">
        <v>50</v>
      </c>
      <c r="F143" s="2" t="n"/>
      <c r="G143" s="2" t="n"/>
      <c r="H143" s="8" t="n">
        <v>4.265817296060533</v>
      </c>
      <c r="I143" s="8" t="n"/>
      <c r="J143" s="8" t="n"/>
      <c r="K143" s="8">
        <f>IF(COUNT(H143:J143)&gt;=2,MAX(H143:J143)-MIN(H143:J143),"")</f>
        <v/>
      </c>
      <c r="L143" s="9">
        <f>IF(ISNUMBER(K143),IF(MAX(ABS(MAX(H143:J143)),ABS(MIN(H143:J143)))=0,"",K143/MAX(ABS(MAX(H143:J143)),ABS(MIN(H143:J143)))),"")</f>
        <v/>
      </c>
      <c r="M143" s="2">
        <f>IF(AND(ISNUMBER(K143),ISNUMBER(L143)),IF(AND(K143&gt;=Ringkasan!$B$10,L143&gt;=Ringkasan!$B$11),"yes",""),"")</f>
        <v/>
      </c>
      <c r="N143" s="2" t="inlineStr">
        <is>
          <t>Vybe</t>
        </is>
      </c>
      <c r="O143" s="2" t="n"/>
      <c r="P143" s="2" t="n"/>
      <c r="S143" s="2" t="n"/>
      <c r="T143" s="2" t="n">
        <v>51</v>
      </c>
    </row>
    <row r="144">
      <c r="A144" s="2" t="inlineStr">
        <is>
          <t>HpCNcEemNRzWcegkAi2WMnhV9UpMHhHfFExaHrqyZ4ah</t>
        </is>
      </c>
      <c r="B144" s="2" t="n"/>
      <c r="C144" s="2">
        <f>COUNT(E144:G144)</f>
        <v/>
      </c>
      <c r="D144" s="2" t="inlineStr">
        <is>
          <t>Vybe</t>
        </is>
      </c>
      <c r="E144" s="2" t="n">
        <v>51</v>
      </c>
      <c r="F144" s="2" t="n"/>
      <c r="G144" s="2" t="n"/>
      <c r="H144" s="8" t="n">
        <v>4.070803440879225</v>
      </c>
      <c r="I144" s="8" t="n"/>
      <c r="J144" s="8" t="n"/>
      <c r="K144" s="8">
        <f>IF(COUNT(H144:J144)&gt;=2,MAX(H144:J144)-MIN(H144:J144),"")</f>
        <v/>
      </c>
      <c r="L144" s="9">
        <f>IF(ISNUMBER(K144),IF(MAX(ABS(MAX(H144:J144)),ABS(MIN(H144:J144)))=0,"",K144/MAX(ABS(MAX(H144:J144)),ABS(MIN(H144:J144)))),"")</f>
        <v/>
      </c>
      <c r="M144" s="2">
        <f>IF(AND(ISNUMBER(K144),ISNUMBER(L144)),IF(AND(K144&gt;=Ringkasan!$B$10,L144&gt;=Ringkasan!$B$11),"yes",""),"")</f>
        <v/>
      </c>
      <c r="N144" s="2" t="inlineStr">
        <is>
          <t>Vybe</t>
        </is>
      </c>
      <c r="O144" s="2" t="n"/>
      <c r="P144" s="2" t="n"/>
      <c r="S144" s="2" t="n"/>
      <c r="T144" s="2" t="n">
        <v>52</v>
      </c>
    </row>
    <row r="145">
      <c r="A145" s="2" t="inlineStr">
        <is>
          <t>HuTshmtwcQkWBLzgW3m4uwcmik7Lmz4YFpYcTqMJpXiP</t>
        </is>
      </c>
      <c r="B145" s="2" t="n"/>
      <c r="C145" s="2">
        <f>COUNT(E145:G145)</f>
        <v/>
      </c>
      <c r="D145" s="2" t="inlineStr">
        <is>
          <t>Vybe</t>
        </is>
      </c>
      <c r="E145" s="2" t="n">
        <v>52</v>
      </c>
      <c r="F145" s="2" t="n"/>
      <c r="G145" s="2" t="n"/>
      <c r="H145" s="8" t="n">
        <v>4.042726837983298</v>
      </c>
      <c r="I145" s="8" t="n"/>
      <c r="J145" s="8" t="n"/>
      <c r="K145" s="8">
        <f>IF(COUNT(H145:J145)&gt;=2,MAX(H145:J145)-MIN(H145:J145),"")</f>
        <v/>
      </c>
      <c r="L145" s="9">
        <f>IF(ISNUMBER(K145),IF(MAX(ABS(MAX(H145:J145)),ABS(MIN(H145:J145)))=0,"",K145/MAX(ABS(MAX(H145:J145)),ABS(MIN(H145:J145)))),"")</f>
        <v/>
      </c>
      <c r="M145" s="2">
        <f>IF(AND(ISNUMBER(K145),ISNUMBER(L145)),IF(AND(K145&gt;=Ringkasan!$B$10,L145&gt;=Ringkasan!$B$11),"yes",""),"")</f>
        <v/>
      </c>
      <c r="N145" s="2" t="inlineStr">
        <is>
          <t>Vybe</t>
        </is>
      </c>
      <c r="O145" s="2" t="n"/>
      <c r="P145" s="2" t="n"/>
      <c r="S145" s="2" t="n"/>
      <c r="T145" s="2" t="n">
        <v>53</v>
      </c>
    </row>
    <row r="146">
      <c r="A146" s="2" t="inlineStr">
        <is>
          <t>FbCxz7spAvk3mS1SG3odPNmdVHCKLZABYHW52YwPd9Z5</t>
        </is>
      </c>
      <c r="B146" s="2" t="n"/>
      <c r="C146" s="2">
        <f>COUNT(E146:G146)</f>
        <v/>
      </c>
      <c r="D146" s="2" t="inlineStr">
        <is>
          <t>Vybe</t>
        </is>
      </c>
      <c r="E146" s="2" t="n">
        <v>53</v>
      </c>
      <c r="F146" s="2" t="n"/>
      <c r="G146" s="2" t="n"/>
      <c r="H146" s="8" t="n">
        <v>3.876070359714853</v>
      </c>
      <c r="I146" s="8" t="n"/>
      <c r="J146" s="8" t="n"/>
      <c r="K146" s="8">
        <f>IF(COUNT(H146:J146)&gt;=2,MAX(H146:J146)-MIN(H146:J146),"")</f>
        <v/>
      </c>
      <c r="L146" s="9">
        <f>IF(ISNUMBER(K146),IF(MAX(ABS(MAX(H146:J146)),ABS(MIN(H146:J146)))=0,"",K146/MAX(ABS(MAX(H146:J146)),ABS(MIN(H146:J146)))),"")</f>
        <v/>
      </c>
      <c r="M146" s="2">
        <f>IF(AND(ISNUMBER(K146),ISNUMBER(L146)),IF(AND(K146&gt;=Ringkasan!$B$10,L146&gt;=Ringkasan!$B$11),"yes",""),"")</f>
        <v/>
      </c>
      <c r="N146" s="2" t="inlineStr">
        <is>
          <t>Vybe</t>
        </is>
      </c>
      <c r="O146" s="2" t="n"/>
      <c r="P146" s="2" t="n"/>
      <c r="S146" s="2" t="n"/>
      <c r="T146" s="2" t="n">
        <v>54</v>
      </c>
    </row>
    <row r="147">
      <c r="A147" s="2" t="inlineStr">
        <is>
          <t>AsNMGbNmmH3T596aHhWtrbmFJKp3wUXuyiDUaDCCmyyT</t>
        </is>
      </c>
      <c r="B147" s="2" t="n"/>
      <c r="C147" s="2">
        <f>COUNT(E147:G147)</f>
        <v/>
      </c>
      <c r="D147" s="2" t="inlineStr">
        <is>
          <t>Vybe</t>
        </is>
      </c>
      <c r="E147" s="2" t="n">
        <v>54</v>
      </c>
      <c r="F147" s="2" t="n"/>
      <c r="G147" s="2" t="n"/>
      <c r="H147" s="8" t="n">
        <v>3.808880744599497</v>
      </c>
      <c r="I147" s="8" t="n"/>
      <c r="J147" s="8" t="n"/>
      <c r="K147" s="8">
        <f>IF(COUNT(H147:J147)&gt;=2,MAX(H147:J147)-MIN(H147:J147),"")</f>
        <v/>
      </c>
      <c r="L147" s="9">
        <f>IF(ISNUMBER(K147),IF(MAX(ABS(MAX(H147:J147)),ABS(MIN(H147:J147)))=0,"",K147/MAX(ABS(MAX(H147:J147)),ABS(MIN(H147:J147)))),"")</f>
        <v/>
      </c>
      <c r="M147" s="2">
        <f>IF(AND(ISNUMBER(K147),ISNUMBER(L147)),IF(AND(K147&gt;=Ringkasan!$B$10,L147&gt;=Ringkasan!$B$11),"yes",""),"")</f>
        <v/>
      </c>
      <c r="N147" s="2" t="inlineStr">
        <is>
          <t>Vybe</t>
        </is>
      </c>
      <c r="O147" s="2" t="n"/>
      <c r="P147" s="2" t="n"/>
      <c r="S147" s="2" t="n"/>
      <c r="T147" s="2" t="n">
        <v>55</v>
      </c>
    </row>
    <row r="148">
      <c r="A148" s="2" t="inlineStr">
        <is>
          <t>6zeuJP4cXA2V5SpXvJDNvHtymeWcQ66q64SVCoAhEKc6</t>
        </is>
      </c>
      <c r="B148" s="2" t="n"/>
      <c r="C148" s="2">
        <f>COUNT(E148:G148)</f>
        <v/>
      </c>
      <c r="D148" s="2" t="inlineStr">
        <is>
          <t>Vybe</t>
        </is>
      </c>
      <c r="E148" s="2" t="n">
        <v>55</v>
      </c>
      <c r="F148" s="2" t="n"/>
      <c r="G148" s="2" t="n"/>
      <c r="H148" s="8" t="n">
        <v>3.705457343061321</v>
      </c>
      <c r="I148" s="8" t="n"/>
      <c r="J148" s="8" t="n"/>
      <c r="K148" s="8">
        <f>IF(COUNT(H148:J148)&gt;=2,MAX(H148:J148)-MIN(H148:J148),"")</f>
        <v/>
      </c>
      <c r="L148" s="9">
        <f>IF(ISNUMBER(K148),IF(MAX(ABS(MAX(H148:J148)),ABS(MIN(H148:J148)))=0,"",K148/MAX(ABS(MAX(H148:J148)),ABS(MIN(H148:J148)))),"")</f>
        <v/>
      </c>
      <c r="M148" s="2">
        <f>IF(AND(ISNUMBER(K148),ISNUMBER(L148)),IF(AND(K148&gt;=Ringkasan!$B$10,L148&gt;=Ringkasan!$B$11),"yes",""),"")</f>
        <v/>
      </c>
      <c r="N148" s="2" t="inlineStr">
        <is>
          <t>Vybe</t>
        </is>
      </c>
      <c r="O148" s="2" t="n"/>
      <c r="P148" s="2" t="n"/>
      <c r="S148" s="2" t="n"/>
      <c r="T148" s="2" t="n">
        <v>56</v>
      </c>
    </row>
    <row r="149">
      <c r="A149" s="2" t="inlineStr">
        <is>
          <t>GVAzZqrZXr3qXa58s249sZkHahTmrHfdCDqJJx3b14pZ</t>
        </is>
      </c>
      <c r="B149" s="2" t="n"/>
      <c r="C149" s="2">
        <f>COUNT(E149:G149)</f>
        <v/>
      </c>
      <c r="D149" s="2" t="inlineStr">
        <is>
          <t>Vybe</t>
        </is>
      </c>
      <c r="E149" s="2" t="n">
        <v>56</v>
      </c>
      <c r="F149" s="2" t="n"/>
      <c r="G149" s="2" t="n"/>
      <c r="H149" s="8" t="n">
        <v>3.144831946212591</v>
      </c>
      <c r="I149" s="8" t="n"/>
      <c r="J149" s="8" t="n"/>
      <c r="K149" s="8">
        <f>IF(COUNT(H149:J149)&gt;=2,MAX(H149:J149)-MIN(H149:J149),"")</f>
        <v/>
      </c>
      <c r="L149" s="9">
        <f>IF(ISNUMBER(K149),IF(MAX(ABS(MAX(H149:J149)),ABS(MIN(H149:J149)))=0,"",K149/MAX(ABS(MAX(H149:J149)),ABS(MIN(H149:J149)))),"")</f>
        <v/>
      </c>
      <c r="M149" s="2">
        <f>IF(AND(ISNUMBER(K149),ISNUMBER(L149)),IF(AND(K149&gt;=Ringkasan!$B$10,L149&gt;=Ringkasan!$B$11),"yes",""),"")</f>
        <v/>
      </c>
      <c r="N149" s="2" t="inlineStr">
        <is>
          <t>Vybe</t>
        </is>
      </c>
      <c r="O149" s="2" t="n"/>
      <c r="P149" s="2" t="n"/>
      <c r="S149" s="2" t="n"/>
      <c r="T149" s="2" t="n">
        <v>57</v>
      </c>
    </row>
    <row r="150">
      <c r="A150" s="2" t="inlineStr">
        <is>
          <t>GEW8AZyQREDiRcDfw4wN8agTDHQT3Bz3U5N6D9gGUbeh</t>
        </is>
      </c>
      <c r="B150" s="2" t="n"/>
      <c r="C150" s="2">
        <f>COUNT(E150:G150)</f>
        <v/>
      </c>
      <c r="D150" s="2" t="inlineStr">
        <is>
          <t>Vybe</t>
        </is>
      </c>
      <c r="E150" s="2" t="n">
        <v>57</v>
      </c>
      <c r="F150" s="2" t="n"/>
      <c r="G150" s="2" t="n"/>
      <c r="H150" s="8" t="n">
        <v>2.75443580055001</v>
      </c>
      <c r="I150" s="8" t="n"/>
      <c r="J150" s="8" t="n"/>
      <c r="K150" s="8">
        <f>IF(COUNT(H150:J150)&gt;=2,MAX(H150:J150)-MIN(H150:J150),"")</f>
        <v/>
      </c>
      <c r="L150" s="9">
        <f>IF(ISNUMBER(K150),IF(MAX(ABS(MAX(H150:J150)),ABS(MIN(H150:J150)))=0,"",K150/MAX(ABS(MAX(H150:J150)),ABS(MIN(H150:J150)))),"")</f>
        <v/>
      </c>
      <c r="M150" s="2">
        <f>IF(AND(ISNUMBER(K150),ISNUMBER(L150)),IF(AND(K150&gt;=Ringkasan!$B$10,L150&gt;=Ringkasan!$B$11),"yes",""),"")</f>
        <v/>
      </c>
      <c r="N150" s="2" t="inlineStr">
        <is>
          <t>Vybe</t>
        </is>
      </c>
      <c r="O150" s="2" t="n"/>
      <c r="P150" s="2" t="n"/>
      <c r="S150" s="2" t="n"/>
      <c r="T150" s="2" t="n">
        <v>58</v>
      </c>
    </row>
    <row r="151">
      <c r="A151" s="2" t="inlineStr">
        <is>
          <t>BnWtHR4EkhCQ8U1ZyL5Dt5kX6y3w9GiU5Lc7onk4E8Yi</t>
        </is>
      </c>
      <c r="B151" s="2" t="n"/>
      <c r="C151" s="2">
        <f>COUNT(E151:G151)</f>
        <v/>
      </c>
      <c r="D151" s="2" t="inlineStr">
        <is>
          <t>Vybe</t>
        </is>
      </c>
      <c r="E151" s="2" t="n">
        <v>58</v>
      </c>
      <c r="F151" s="2" t="n"/>
      <c r="G151" s="2" t="n"/>
      <c r="H151" s="8" t="n">
        <v>2.547272379974123</v>
      </c>
      <c r="I151" s="8" t="n"/>
      <c r="J151" s="8" t="n"/>
      <c r="K151" s="8">
        <f>IF(COUNT(H151:J151)&gt;=2,MAX(H151:J151)-MIN(H151:J151),"")</f>
        <v/>
      </c>
      <c r="L151" s="9">
        <f>IF(ISNUMBER(K151),IF(MAX(ABS(MAX(H151:J151)),ABS(MIN(H151:J151)))=0,"",K151/MAX(ABS(MAX(H151:J151)),ABS(MIN(H151:J151)))),"")</f>
        <v/>
      </c>
      <c r="M151" s="2">
        <f>IF(AND(ISNUMBER(K151),ISNUMBER(L151)),IF(AND(K151&gt;=Ringkasan!$B$10,L151&gt;=Ringkasan!$B$11),"yes",""),"")</f>
        <v/>
      </c>
      <c r="N151" s="2" t="inlineStr">
        <is>
          <t>Vybe</t>
        </is>
      </c>
      <c r="O151" s="2" t="n"/>
      <c r="P151" s="2" t="n"/>
      <c r="S151" s="2" t="n"/>
      <c r="T151" s="2" t="n">
        <v>59</v>
      </c>
    </row>
    <row r="152">
      <c r="A152" s="2" t="inlineStr">
        <is>
          <t>GCouiHrsjbAmsrdSWenYxMQYWEHWHmQrV6aLsy7ZUGRw</t>
        </is>
      </c>
      <c r="B152" s="2" t="n"/>
      <c r="C152" s="2">
        <f>COUNT(E152:G152)</f>
        <v/>
      </c>
      <c r="D152" s="2" t="inlineStr">
        <is>
          <t>Vybe</t>
        </is>
      </c>
      <c r="E152" s="2" t="n">
        <v>59</v>
      </c>
      <c r="F152" s="2" t="n"/>
      <c r="G152" s="2" t="n"/>
      <c r="H152" s="8" t="n">
        <v>2.488320666032189</v>
      </c>
      <c r="I152" s="8" t="n"/>
      <c r="J152" s="8" t="n"/>
      <c r="K152" s="8">
        <f>IF(COUNT(H152:J152)&gt;=2,MAX(H152:J152)-MIN(H152:J152),"")</f>
        <v/>
      </c>
      <c r="L152" s="9">
        <f>IF(ISNUMBER(K152),IF(MAX(ABS(MAX(H152:J152)),ABS(MIN(H152:J152)))=0,"",K152/MAX(ABS(MAX(H152:J152)),ABS(MIN(H152:J152)))),"")</f>
        <v/>
      </c>
      <c r="M152" s="2">
        <f>IF(AND(ISNUMBER(K152),ISNUMBER(L152)),IF(AND(K152&gt;=Ringkasan!$B$10,L152&gt;=Ringkasan!$B$11),"yes",""),"")</f>
        <v/>
      </c>
      <c r="N152" s="2" t="inlineStr">
        <is>
          <t>Vybe</t>
        </is>
      </c>
      <c r="O152" s="2" t="n"/>
      <c r="P152" s="2" t="n"/>
      <c r="S152" s="2" t="n"/>
      <c r="T152" s="2" t="n">
        <v>60</v>
      </c>
    </row>
    <row r="153">
      <c r="A153" s="2" t="inlineStr">
        <is>
          <t>BVpr3EjQcWjzYnRJpgSBsFKjGh6DVUwbXmBu3ExkMUX7</t>
        </is>
      </c>
      <c r="B153" s="2" t="n"/>
      <c r="C153" s="2">
        <f>COUNT(E153:G153)</f>
        <v/>
      </c>
      <c r="D153" s="2" t="inlineStr">
        <is>
          <t>Vybe</t>
        </is>
      </c>
      <c r="E153" s="2" t="n">
        <v>60</v>
      </c>
      <c r="F153" s="2" t="n"/>
      <c r="G153" s="2" t="n"/>
      <c r="H153" s="8" t="n">
        <v>2.109577976766649</v>
      </c>
      <c r="I153" s="8" t="n"/>
      <c r="J153" s="8" t="n"/>
      <c r="K153" s="8">
        <f>IF(COUNT(H153:J153)&gt;=2,MAX(H153:J153)-MIN(H153:J153),"")</f>
        <v/>
      </c>
      <c r="L153" s="9">
        <f>IF(ISNUMBER(K153),IF(MAX(ABS(MAX(H153:J153)),ABS(MIN(H153:J153)))=0,"",K153/MAX(ABS(MAX(H153:J153)),ABS(MIN(H153:J153)))),"")</f>
        <v/>
      </c>
      <c r="M153" s="2">
        <f>IF(AND(ISNUMBER(K153),ISNUMBER(L153)),IF(AND(K153&gt;=Ringkasan!$B$10,L153&gt;=Ringkasan!$B$11),"yes",""),"")</f>
        <v/>
      </c>
      <c r="N153" s="2" t="inlineStr">
        <is>
          <t>Vybe</t>
        </is>
      </c>
      <c r="O153" s="2" t="n"/>
      <c r="P153" s="2" t="n"/>
      <c r="S153" s="2" t="n"/>
      <c r="T153" s="2" t="n">
        <v>61</v>
      </c>
    </row>
    <row r="154">
      <c r="A154" s="2" t="inlineStr">
        <is>
          <t>9y9cDVSSXJQRsqCDEuaUfBE1iyysgpn5Gqwc9nL8zbu6</t>
        </is>
      </c>
      <c r="B154" s="2" t="n"/>
      <c r="C154" s="2">
        <f>COUNT(E154:G154)</f>
        <v/>
      </c>
      <c r="D154" s="2" t="inlineStr">
        <is>
          <t>Vybe</t>
        </is>
      </c>
      <c r="E154" s="2" t="n">
        <v>61</v>
      </c>
      <c r="F154" s="2" t="n"/>
      <c r="G154" s="2" t="n"/>
      <c r="H154" s="8" t="n">
        <v>1.945388044923846</v>
      </c>
      <c r="I154" s="8" t="n"/>
      <c r="J154" s="8" t="n"/>
      <c r="K154" s="8">
        <f>IF(COUNT(H154:J154)&gt;=2,MAX(H154:J154)-MIN(H154:J154),"")</f>
        <v/>
      </c>
      <c r="L154" s="9">
        <f>IF(ISNUMBER(K154),IF(MAX(ABS(MAX(H154:J154)),ABS(MIN(H154:J154)))=0,"",K154/MAX(ABS(MAX(H154:J154)),ABS(MIN(H154:J154)))),"")</f>
        <v/>
      </c>
      <c r="M154" s="2">
        <f>IF(AND(ISNUMBER(K154),ISNUMBER(L154)),IF(AND(K154&gt;=Ringkasan!$B$10,L154&gt;=Ringkasan!$B$11),"yes",""),"")</f>
        <v/>
      </c>
      <c r="N154" s="2" t="inlineStr">
        <is>
          <t>Vybe</t>
        </is>
      </c>
      <c r="O154" s="2" t="n"/>
      <c r="P154" s="2" t="n"/>
      <c r="S154" s="2" t="n"/>
      <c r="T154" s="2" t="n">
        <v>62</v>
      </c>
    </row>
    <row r="155">
      <c r="A155" s="2" t="inlineStr">
        <is>
          <t>9yxJXHDYDxkHUddehjSUmPSots53MYinhBtE1TMMFscG</t>
        </is>
      </c>
      <c r="B155" s="2" t="n"/>
      <c r="C155" s="2">
        <f>COUNT(E155:G155)</f>
        <v/>
      </c>
      <c r="D155" s="2" t="inlineStr">
        <is>
          <t>Vybe</t>
        </is>
      </c>
      <c r="E155" s="2" t="n">
        <v>62</v>
      </c>
      <c r="F155" s="2" t="n"/>
      <c r="G155" s="2" t="n"/>
      <c r="H155" s="8" t="n">
        <v>1.700580977630457</v>
      </c>
      <c r="I155" s="8" t="n"/>
      <c r="J155" s="8" t="n"/>
      <c r="K155" s="8">
        <f>IF(COUNT(H155:J155)&gt;=2,MAX(H155:J155)-MIN(H155:J155),"")</f>
        <v/>
      </c>
      <c r="L155" s="9">
        <f>IF(ISNUMBER(K155),IF(MAX(ABS(MAX(H155:J155)),ABS(MIN(H155:J155)))=0,"",K155/MAX(ABS(MAX(H155:J155)),ABS(MIN(H155:J155)))),"")</f>
        <v/>
      </c>
      <c r="M155" s="2">
        <f>IF(AND(ISNUMBER(K155),ISNUMBER(L155)),IF(AND(K155&gt;=Ringkasan!$B$10,L155&gt;=Ringkasan!$B$11),"yes",""),"")</f>
        <v/>
      </c>
      <c r="N155" s="2" t="inlineStr">
        <is>
          <t>Vybe</t>
        </is>
      </c>
      <c r="O155" s="2" t="n"/>
      <c r="P155" s="2" t="n"/>
      <c r="S155" s="2" t="n"/>
      <c r="T155" s="2" t="n">
        <v>63</v>
      </c>
    </row>
    <row r="156">
      <c r="A156" s="2" t="inlineStr">
        <is>
          <t>4M1LZk6HtFEjbTq1No9GRuGJozerbSiaVVVF1GFdUZCb</t>
        </is>
      </c>
      <c r="B156" s="2" t="n"/>
      <c r="C156" s="2">
        <f>COUNT(E156:G156)</f>
        <v/>
      </c>
      <c r="D156" s="2" t="inlineStr">
        <is>
          <t>Vybe</t>
        </is>
      </c>
      <c r="E156" s="2" t="n">
        <v>63</v>
      </c>
      <c r="F156" s="2" t="n"/>
      <c r="G156" s="2" t="n"/>
      <c r="H156" s="8" t="n">
        <v>1.582946542245385</v>
      </c>
      <c r="I156" s="8" t="n"/>
      <c r="J156" s="8" t="n"/>
      <c r="K156" s="8">
        <f>IF(COUNT(H156:J156)&gt;=2,MAX(H156:J156)-MIN(H156:J156),"")</f>
        <v/>
      </c>
      <c r="L156" s="9">
        <f>IF(ISNUMBER(K156),IF(MAX(ABS(MAX(H156:J156)),ABS(MIN(H156:J156)))=0,"",K156/MAX(ABS(MAX(H156:J156)),ABS(MIN(H156:J156)))),"")</f>
        <v/>
      </c>
      <c r="M156" s="2">
        <f>IF(AND(ISNUMBER(K156),ISNUMBER(L156)),IF(AND(K156&gt;=Ringkasan!$B$10,L156&gt;=Ringkasan!$B$11),"yes",""),"")</f>
        <v/>
      </c>
      <c r="N156" s="2" t="inlineStr">
        <is>
          <t>Vybe</t>
        </is>
      </c>
      <c r="O156" s="2" t="n"/>
      <c r="P156" s="2" t="n"/>
      <c r="S156" s="2" t="n"/>
      <c r="T156" s="2" t="n">
        <v>64</v>
      </c>
    </row>
    <row r="157">
      <c r="A157" s="2" t="inlineStr">
        <is>
          <t>8o6KxfkjCQsedrdhQWnAsY27DpoiiTvQPVDs8r5qdi1W</t>
        </is>
      </c>
      <c r="B157" s="2" t="n"/>
      <c r="C157" s="2">
        <f>COUNT(E157:G157)</f>
        <v/>
      </c>
      <c r="D157" s="2" t="inlineStr">
        <is>
          <t>Vybe</t>
        </is>
      </c>
      <c r="E157" s="2" t="n">
        <v>64</v>
      </c>
      <c r="F157" s="2" t="n"/>
      <c r="G157" s="2" t="n"/>
      <c r="H157" s="8" t="n">
        <v>1.532048442002926</v>
      </c>
      <c r="I157" s="8" t="n"/>
      <c r="J157" s="8" t="n"/>
      <c r="K157" s="8">
        <f>IF(COUNT(H157:J157)&gt;=2,MAX(H157:J157)-MIN(H157:J157),"")</f>
        <v/>
      </c>
      <c r="L157" s="9">
        <f>IF(ISNUMBER(K157),IF(MAX(ABS(MAX(H157:J157)),ABS(MIN(H157:J157)))=0,"",K157/MAX(ABS(MAX(H157:J157)),ABS(MIN(H157:J157)))),"")</f>
        <v/>
      </c>
      <c r="M157" s="2">
        <f>IF(AND(ISNUMBER(K157),ISNUMBER(L157)),IF(AND(K157&gt;=Ringkasan!$B$10,L157&gt;=Ringkasan!$B$11),"yes",""),"")</f>
        <v/>
      </c>
      <c r="N157" s="2" t="inlineStr">
        <is>
          <t>Vybe</t>
        </is>
      </c>
      <c r="O157" s="2" t="n"/>
      <c r="P157" s="2" t="n"/>
      <c r="S157" s="2" t="n"/>
      <c r="T157" s="2" t="n">
        <v>65</v>
      </c>
    </row>
    <row r="158">
      <c r="A158" s="2" t="inlineStr">
        <is>
          <t>AWtagyv5hNsxvp6K5L2Den7WfgVseiWF9QbWkK6ijVuc</t>
        </is>
      </c>
      <c r="B158" s="2" t="n"/>
      <c r="C158" s="2">
        <f>COUNT(E158:G158)</f>
        <v/>
      </c>
      <c r="D158" s="2" t="inlineStr">
        <is>
          <t>Vybe</t>
        </is>
      </c>
      <c r="E158" s="2" t="n">
        <v>65</v>
      </c>
      <c r="F158" s="2" t="n"/>
      <c r="G158" s="2" t="n"/>
      <c r="H158" s="8" t="n">
        <v>1.437165526072612</v>
      </c>
      <c r="I158" s="8" t="n"/>
      <c r="J158" s="8" t="n"/>
      <c r="K158" s="8">
        <f>IF(COUNT(H158:J158)&gt;=2,MAX(H158:J158)-MIN(H158:J158),"")</f>
        <v/>
      </c>
      <c r="L158" s="9">
        <f>IF(ISNUMBER(K158),IF(MAX(ABS(MAX(H158:J158)),ABS(MIN(H158:J158)))=0,"",K158/MAX(ABS(MAX(H158:J158)),ABS(MIN(H158:J158)))),"")</f>
        <v/>
      </c>
      <c r="M158" s="2">
        <f>IF(AND(ISNUMBER(K158),ISNUMBER(L158)),IF(AND(K158&gt;=Ringkasan!$B$10,L158&gt;=Ringkasan!$B$11),"yes",""),"")</f>
        <v/>
      </c>
      <c r="N158" s="2" t="inlineStr">
        <is>
          <t>Vybe</t>
        </is>
      </c>
      <c r="O158" s="2" t="n"/>
      <c r="P158" s="2" t="n"/>
      <c r="S158" s="2" t="n"/>
      <c r="T158" s="2" t="n">
        <v>66</v>
      </c>
    </row>
    <row r="159">
      <c r="A159" s="2" t="inlineStr">
        <is>
          <t>8Zwo1ztiyeakGfhe7k1fWMjdXRt44UCuREk2YtCPhRXn</t>
        </is>
      </c>
      <c r="B159" s="2" t="n"/>
      <c r="C159" s="2">
        <f>COUNT(E159:G159)</f>
        <v/>
      </c>
      <c r="D159" s="2" t="inlineStr">
        <is>
          <t>Vybe</t>
        </is>
      </c>
      <c r="E159" s="2" t="n">
        <v>66</v>
      </c>
      <c r="F159" s="2" t="n"/>
      <c r="G159" s="2" t="n"/>
      <c r="H159" s="8" t="n">
        <v>1.436190882746576</v>
      </c>
      <c r="I159" s="8" t="n"/>
      <c r="J159" s="8" t="n"/>
      <c r="K159" s="8">
        <f>IF(COUNT(H159:J159)&gt;=2,MAX(H159:J159)-MIN(H159:J159),"")</f>
        <v/>
      </c>
      <c r="L159" s="9">
        <f>IF(ISNUMBER(K159),IF(MAX(ABS(MAX(H159:J159)),ABS(MIN(H159:J159)))=0,"",K159/MAX(ABS(MAX(H159:J159)),ABS(MIN(H159:J159)))),"")</f>
        <v/>
      </c>
      <c r="M159" s="2">
        <f>IF(AND(ISNUMBER(K159),ISNUMBER(L159)),IF(AND(K159&gt;=Ringkasan!$B$10,L159&gt;=Ringkasan!$B$11),"yes",""),"")</f>
        <v/>
      </c>
      <c r="N159" s="2" t="inlineStr">
        <is>
          <t>Vybe</t>
        </is>
      </c>
      <c r="O159" s="2" t="n"/>
      <c r="P159" s="2" t="n"/>
      <c r="S159" s="2" t="n"/>
      <c r="T159" s="2" t="n">
        <v>67</v>
      </c>
    </row>
    <row r="160">
      <c r="A160" s="2" t="inlineStr">
        <is>
          <t>FQ9SYnpWB2dTvpRJzn1oao5F6Y4YtnRcDUXhP3vpFbov</t>
        </is>
      </c>
      <c r="B160" s="2" t="n"/>
      <c r="C160" s="2">
        <f>COUNT(E160:G160)</f>
        <v/>
      </c>
      <c r="D160" s="2" t="inlineStr">
        <is>
          <t>Vybe</t>
        </is>
      </c>
      <c r="E160" s="2" t="n">
        <v>67</v>
      </c>
      <c r="F160" s="2" t="n"/>
      <c r="G160" s="2" t="n"/>
      <c r="H160" s="8" t="n">
        <v>1.305719037969159</v>
      </c>
      <c r="I160" s="8" t="n"/>
      <c r="J160" s="8" t="n"/>
      <c r="K160" s="8">
        <f>IF(COUNT(H160:J160)&gt;=2,MAX(H160:J160)-MIN(H160:J160),"")</f>
        <v/>
      </c>
      <c r="L160" s="9">
        <f>IF(ISNUMBER(K160),IF(MAX(ABS(MAX(H160:J160)),ABS(MIN(H160:J160)))=0,"",K160/MAX(ABS(MAX(H160:J160)),ABS(MIN(H160:J160)))),"")</f>
        <v/>
      </c>
      <c r="M160" s="2">
        <f>IF(AND(ISNUMBER(K160),ISNUMBER(L160)),IF(AND(K160&gt;=Ringkasan!$B$10,L160&gt;=Ringkasan!$B$11),"yes",""),"")</f>
        <v/>
      </c>
      <c r="N160" s="2" t="inlineStr">
        <is>
          <t>Vybe</t>
        </is>
      </c>
      <c r="O160" s="2" t="n"/>
      <c r="P160" s="2" t="n"/>
      <c r="S160" s="2" t="n"/>
      <c r="T160" s="2" t="n">
        <v>68</v>
      </c>
    </row>
    <row r="161">
      <c r="A161" s="2" t="inlineStr">
        <is>
          <t>6FcwDyQ9ypmGQwVa6UHgm5v7AbQ7XdP6EiKAs787heop</t>
        </is>
      </c>
      <c r="B161" s="2" t="n"/>
      <c r="C161" s="2">
        <f>COUNT(E161:G161)</f>
        <v/>
      </c>
      <c r="D161" s="2" t="inlineStr">
        <is>
          <t>Vybe</t>
        </is>
      </c>
      <c r="E161" s="2" t="n">
        <v>68</v>
      </c>
      <c r="F161" s="2" t="n"/>
      <c r="G161" s="2" t="n"/>
      <c r="H161" s="8" t="n">
        <v>1.272475466483272</v>
      </c>
      <c r="I161" s="8" t="n"/>
      <c r="J161" s="8" t="n"/>
      <c r="K161" s="8">
        <f>IF(COUNT(H161:J161)&gt;=2,MAX(H161:J161)-MIN(H161:J161),"")</f>
        <v/>
      </c>
      <c r="L161" s="9">
        <f>IF(ISNUMBER(K161),IF(MAX(ABS(MAX(H161:J161)),ABS(MIN(H161:J161)))=0,"",K161/MAX(ABS(MAX(H161:J161)),ABS(MIN(H161:J161)))),"")</f>
        <v/>
      </c>
      <c r="M161" s="2">
        <f>IF(AND(ISNUMBER(K161),ISNUMBER(L161)),IF(AND(K161&gt;=Ringkasan!$B$10,L161&gt;=Ringkasan!$B$11),"yes",""),"")</f>
        <v/>
      </c>
      <c r="N161" s="2" t="inlineStr">
        <is>
          <t>Vybe</t>
        </is>
      </c>
      <c r="O161" s="2" t="n"/>
      <c r="P161" s="2" t="n"/>
      <c r="S161" s="2" t="n"/>
      <c r="T161" s="2" t="n">
        <v>69</v>
      </c>
    </row>
    <row r="162">
      <c r="A162" s="2" t="inlineStr">
        <is>
          <t>FuC9mJxguS6Fn4LvHKVjpKpr618gKcKuTu2YwgdAgUM5</t>
        </is>
      </c>
      <c r="B162" s="2" t="n"/>
      <c r="C162" s="2">
        <f>COUNT(E162:G162)</f>
        <v/>
      </c>
      <c r="D162" s="2" t="inlineStr">
        <is>
          <t>Vybe</t>
        </is>
      </c>
      <c r="E162" s="2" t="n">
        <v>69</v>
      </c>
      <c r="F162" s="2" t="n"/>
      <c r="G162" s="2" t="n"/>
      <c r="H162" s="8" t="n">
        <v>1.216574169234186</v>
      </c>
      <c r="I162" s="8" t="n"/>
      <c r="J162" s="8" t="n"/>
      <c r="K162" s="8">
        <f>IF(COUNT(H162:J162)&gt;=2,MAX(H162:J162)-MIN(H162:J162),"")</f>
        <v/>
      </c>
      <c r="L162" s="9">
        <f>IF(ISNUMBER(K162),IF(MAX(ABS(MAX(H162:J162)),ABS(MIN(H162:J162)))=0,"",K162/MAX(ABS(MAX(H162:J162)),ABS(MIN(H162:J162)))),"")</f>
        <v/>
      </c>
      <c r="M162" s="2">
        <f>IF(AND(ISNUMBER(K162),ISNUMBER(L162)),IF(AND(K162&gt;=Ringkasan!$B$10,L162&gt;=Ringkasan!$B$11),"yes",""),"")</f>
        <v/>
      </c>
      <c r="N162" s="2" t="inlineStr">
        <is>
          <t>Vybe</t>
        </is>
      </c>
      <c r="O162" s="2" t="n"/>
      <c r="P162" s="2" t="n"/>
      <c r="S162" s="2" t="n"/>
      <c r="T162" s="2" t="n">
        <v>70</v>
      </c>
    </row>
    <row r="163">
      <c r="A163" s="2" t="inlineStr">
        <is>
          <t>2qp8zeBcFa2qvicha9Mri23kYte2pxx7gQ6YVfgSP4Le</t>
        </is>
      </c>
      <c r="B163" s="2" t="n"/>
      <c r="C163" s="2">
        <f>COUNT(E163:G163)</f>
        <v/>
      </c>
      <c r="D163" s="2" t="inlineStr">
        <is>
          <t>Vybe</t>
        </is>
      </c>
      <c r="E163" s="2" t="n">
        <v>70</v>
      </c>
      <c r="F163" s="2" t="n"/>
      <c r="G163" s="2" t="n"/>
      <c r="H163" s="8" t="n">
        <v>1.160055917279985</v>
      </c>
      <c r="I163" s="8" t="n"/>
      <c r="J163" s="8" t="n"/>
      <c r="K163" s="8">
        <f>IF(COUNT(H163:J163)&gt;=2,MAX(H163:J163)-MIN(H163:J163),"")</f>
        <v/>
      </c>
      <c r="L163" s="9">
        <f>IF(ISNUMBER(K163),IF(MAX(ABS(MAX(H163:J163)),ABS(MIN(H163:J163)))=0,"",K163/MAX(ABS(MAX(H163:J163)),ABS(MIN(H163:J163)))),"")</f>
        <v/>
      </c>
      <c r="M163" s="2">
        <f>IF(AND(ISNUMBER(K163),ISNUMBER(L163)),IF(AND(K163&gt;=Ringkasan!$B$10,L163&gt;=Ringkasan!$B$11),"yes",""),"")</f>
        <v/>
      </c>
      <c r="N163" s="2" t="inlineStr">
        <is>
          <t>Vybe</t>
        </is>
      </c>
      <c r="O163" s="2" t="n"/>
      <c r="P163" s="2" t="n"/>
      <c r="S163" s="2" t="n"/>
      <c r="T163" s="2" t="n">
        <v>71</v>
      </c>
    </row>
    <row r="164">
      <c r="A164" s="2" t="inlineStr">
        <is>
          <t>CXwLBK15woYrt8Ad1XNNLoctcSL8GxyitHd2FuE98dC3</t>
        </is>
      </c>
      <c r="B164" s="2" t="n"/>
      <c r="C164" s="2">
        <f>COUNT(E164:G164)</f>
        <v/>
      </c>
      <c r="D164" s="2" t="inlineStr">
        <is>
          <t>Vybe</t>
        </is>
      </c>
      <c r="E164" s="2" t="n">
        <v>71</v>
      </c>
      <c r="F164" s="2" t="n"/>
      <c r="G164" s="2" t="n"/>
      <c r="H164" s="8" t="n">
        <v>1.157723982541834</v>
      </c>
      <c r="I164" s="8" t="n"/>
      <c r="J164" s="8" t="n"/>
      <c r="K164" s="8">
        <f>IF(COUNT(H164:J164)&gt;=2,MAX(H164:J164)-MIN(H164:J164),"")</f>
        <v/>
      </c>
      <c r="L164" s="9">
        <f>IF(ISNUMBER(K164),IF(MAX(ABS(MAX(H164:J164)),ABS(MIN(H164:J164)))=0,"",K164/MAX(ABS(MAX(H164:J164)),ABS(MIN(H164:J164)))),"")</f>
        <v/>
      </c>
      <c r="M164" s="2">
        <f>IF(AND(ISNUMBER(K164),ISNUMBER(L164)),IF(AND(K164&gt;=Ringkasan!$B$10,L164&gt;=Ringkasan!$B$11),"yes",""),"")</f>
        <v/>
      </c>
      <c r="N164" s="2" t="inlineStr">
        <is>
          <t>Vybe</t>
        </is>
      </c>
      <c r="O164" s="2" t="n"/>
      <c r="P164" s="2" t="n"/>
      <c r="S164" s="2" t="n"/>
      <c r="T164" s="2" t="n">
        <v>72</v>
      </c>
    </row>
    <row r="165">
      <c r="A165" s="2" t="inlineStr">
        <is>
          <t>4nRvuqUkM4QkV8E85wCFqauj5r2nMHwTvZPBKsWDArBy</t>
        </is>
      </c>
      <c r="B165" s="2" t="n"/>
      <c r="C165" s="2">
        <f>COUNT(E165:G165)</f>
        <v/>
      </c>
      <c r="D165" s="2" t="inlineStr">
        <is>
          <t>Vybe</t>
        </is>
      </c>
      <c r="E165" s="2" t="n">
        <v>72</v>
      </c>
      <c r="F165" s="2" t="n"/>
      <c r="G165" s="2" t="n"/>
      <c r="H165" s="8" t="n">
        <v>1.129270573043962</v>
      </c>
      <c r="I165" s="8" t="n"/>
      <c r="J165" s="8" t="n"/>
      <c r="K165" s="8">
        <f>IF(COUNT(H165:J165)&gt;=2,MAX(H165:J165)-MIN(H165:J165),"")</f>
        <v/>
      </c>
      <c r="L165" s="9">
        <f>IF(ISNUMBER(K165),IF(MAX(ABS(MAX(H165:J165)),ABS(MIN(H165:J165)))=0,"",K165/MAX(ABS(MAX(H165:J165)),ABS(MIN(H165:J165)))),"")</f>
        <v/>
      </c>
      <c r="M165" s="2">
        <f>IF(AND(ISNUMBER(K165),ISNUMBER(L165)),IF(AND(K165&gt;=Ringkasan!$B$10,L165&gt;=Ringkasan!$B$11),"yes",""),"")</f>
        <v/>
      </c>
      <c r="N165" s="2" t="inlineStr">
        <is>
          <t>Vybe</t>
        </is>
      </c>
      <c r="O165" s="2" t="n"/>
      <c r="P165" s="2" t="n"/>
      <c r="S165" s="2" t="n"/>
      <c r="T165" s="2" t="n">
        <v>73</v>
      </c>
    </row>
    <row r="166">
      <c r="A166" s="2" t="inlineStr">
        <is>
          <t>8wpb2kRykkxVHM4xZ9U3CKWobSfePrzWsJYi6h5AufYA</t>
        </is>
      </c>
      <c r="B166" s="2" t="n"/>
      <c r="C166" s="2">
        <f>COUNT(E166:G166)</f>
        <v/>
      </c>
      <c r="D166" s="2" t="inlineStr">
        <is>
          <t>Vybe</t>
        </is>
      </c>
      <c r="E166" s="2" t="n">
        <v>73</v>
      </c>
      <c r="F166" s="2" t="n"/>
      <c r="G166" s="2" t="n"/>
      <c r="H166" s="8" t="n">
        <v>1.012895073626449</v>
      </c>
      <c r="I166" s="8" t="n"/>
      <c r="J166" s="8" t="n"/>
      <c r="K166" s="8">
        <f>IF(COUNT(H166:J166)&gt;=2,MAX(H166:J166)-MIN(H166:J166),"")</f>
        <v/>
      </c>
      <c r="L166" s="9">
        <f>IF(ISNUMBER(K166),IF(MAX(ABS(MAX(H166:J166)),ABS(MIN(H166:J166)))=0,"",K166/MAX(ABS(MAX(H166:J166)),ABS(MIN(H166:J166)))),"")</f>
        <v/>
      </c>
      <c r="M166" s="2">
        <f>IF(AND(ISNUMBER(K166),ISNUMBER(L166)),IF(AND(K166&gt;=Ringkasan!$B$10,L166&gt;=Ringkasan!$B$11),"yes",""),"")</f>
        <v/>
      </c>
      <c r="N166" s="2" t="inlineStr">
        <is>
          <t>Vybe</t>
        </is>
      </c>
      <c r="O166" s="2" t="n"/>
      <c r="P166" s="2" t="n"/>
      <c r="S166" s="2" t="n"/>
      <c r="T166" s="2" t="n">
        <v>74</v>
      </c>
    </row>
    <row r="167">
      <c r="A167" s="2" t="inlineStr">
        <is>
          <t>5E3GccPofDNrNoUsgAmTxnSKokwwYeTWDNCpXSL7EYuN</t>
        </is>
      </c>
      <c r="B167" s="2" t="n"/>
      <c r="C167" s="2">
        <f>COUNT(E167:G167)</f>
        <v/>
      </c>
      <c r="D167" s="2" t="inlineStr">
        <is>
          <t>Vybe</t>
        </is>
      </c>
      <c r="E167" s="2" t="n">
        <v>74</v>
      </c>
      <c r="F167" s="2" t="n"/>
      <c r="G167" s="2" t="n"/>
      <c r="H167" s="8" t="n">
        <v>0.9287269996260682</v>
      </c>
      <c r="I167" s="8" t="n"/>
      <c r="J167" s="8" t="n"/>
      <c r="K167" s="8">
        <f>IF(COUNT(H167:J167)&gt;=2,MAX(H167:J167)-MIN(H167:J167),"")</f>
        <v/>
      </c>
      <c r="L167" s="9">
        <f>IF(ISNUMBER(K167),IF(MAX(ABS(MAX(H167:J167)),ABS(MIN(H167:J167)))=0,"",K167/MAX(ABS(MAX(H167:J167)),ABS(MIN(H167:J167)))),"")</f>
        <v/>
      </c>
      <c r="M167" s="2">
        <f>IF(AND(ISNUMBER(K167),ISNUMBER(L167)),IF(AND(K167&gt;=Ringkasan!$B$10,L167&gt;=Ringkasan!$B$11),"yes",""),"")</f>
        <v/>
      </c>
      <c r="N167" s="2" t="inlineStr">
        <is>
          <t>Vybe</t>
        </is>
      </c>
      <c r="O167" s="2" t="n"/>
      <c r="P167" s="2" t="n"/>
      <c r="S167" s="2" t="n"/>
      <c r="T167" s="2" t="n">
        <v>75</v>
      </c>
    </row>
    <row r="168">
      <c r="A168" s="2" t="inlineStr">
        <is>
          <t>8SdeWmnntk7XR8M6dPnEii22X4bz9AXdJpbnuMre8AzT</t>
        </is>
      </c>
      <c r="B168" s="2" t="n"/>
      <c r="C168" s="2">
        <f>COUNT(E168:G168)</f>
        <v/>
      </c>
      <c r="D168" s="2" t="inlineStr">
        <is>
          <t>Vybe</t>
        </is>
      </c>
      <c r="E168" s="2" t="n">
        <v>75</v>
      </c>
      <c r="F168" s="2" t="n"/>
      <c r="G168" s="2" t="n"/>
      <c r="H168" s="8" t="n">
        <v>0.9176809398647685</v>
      </c>
      <c r="I168" s="8" t="n"/>
      <c r="J168" s="8" t="n"/>
      <c r="K168" s="8">
        <f>IF(COUNT(H168:J168)&gt;=2,MAX(H168:J168)-MIN(H168:J168),"")</f>
        <v/>
      </c>
      <c r="L168" s="9">
        <f>IF(ISNUMBER(K168),IF(MAX(ABS(MAX(H168:J168)),ABS(MIN(H168:J168)))=0,"",K168/MAX(ABS(MAX(H168:J168)),ABS(MIN(H168:J168)))),"")</f>
        <v/>
      </c>
      <c r="M168" s="2">
        <f>IF(AND(ISNUMBER(K168),ISNUMBER(L168)),IF(AND(K168&gt;=Ringkasan!$B$10,L168&gt;=Ringkasan!$B$11),"yes",""),"")</f>
        <v/>
      </c>
      <c r="N168" s="2" t="inlineStr">
        <is>
          <t>Vybe</t>
        </is>
      </c>
      <c r="O168" s="2" t="n"/>
      <c r="P168" s="2" t="n"/>
      <c r="S168" s="2" t="n"/>
      <c r="T168" s="2" t="n">
        <v>76</v>
      </c>
    </row>
    <row r="169">
      <c r="A169" s="2" t="inlineStr">
        <is>
          <t>CTr5mBHp9E9qde5EWnPY7uaRLm6fMgETmwt7hnyRLhvq</t>
        </is>
      </c>
      <c r="B169" s="2" t="n"/>
      <c r="C169" s="2">
        <f>COUNT(E169:G169)</f>
        <v/>
      </c>
      <c r="D169" s="2" t="inlineStr">
        <is>
          <t>Vybe</t>
        </is>
      </c>
      <c r="E169" s="2" t="n">
        <v>76</v>
      </c>
      <c r="F169" s="2" t="n"/>
      <c r="G169" s="2" t="n"/>
      <c r="H169" s="8" t="n">
        <v>0.8498496812420104</v>
      </c>
      <c r="I169" s="8" t="n"/>
      <c r="J169" s="8" t="n"/>
      <c r="K169" s="8">
        <f>IF(COUNT(H169:J169)&gt;=2,MAX(H169:J169)-MIN(H169:J169),"")</f>
        <v/>
      </c>
      <c r="L169" s="9">
        <f>IF(ISNUMBER(K169),IF(MAX(ABS(MAX(H169:J169)),ABS(MIN(H169:J169)))=0,"",K169/MAX(ABS(MAX(H169:J169)),ABS(MIN(H169:J169)))),"")</f>
        <v/>
      </c>
      <c r="M169" s="2">
        <f>IF(AND(ISNUMBER(K169),ISNUMBER(L169)),IF(AND(K169&gt;=Ringkasan!$B$10,L169&gt;=Ringkasan!$B$11),"yes",""),"")</f>
        <v/>
      </c>
      <c r="N169" s="2" t="inlineStr">
        <is>
          <t>Vybe</t>
        </is>
      </c>
      <c r="O169" s="2" t="n"/>
      <c r="P169" s="2" t="n"/>
      <c r="S169" s="2" t="n"/>
      <c r="T169" s="2" t="n">
        <v>77</v>
      </c>
    </row>
    <row r="170">
      <c r="A170" s="2" t="inlineStr">
        <is>
          <t>BkbE6c6NzbKRFuXpX1nRqSjB2CNZU5tzQcWFwf3oZzhk</t>
        </is>
      </c>
      <c r="B170" s="2" t="n"/>
      <c r="C170" s="2">
        <f>COUNT(E170:G170)</f>
        <v/>
      </c>
      <c r="D170" s="2" t="inlineStr">
        <is>
          <t>Vybe</t>
        </is>
      </c>
      <c r="E170" s="2" t="n">
        <v>77</v>
      </c>
      <c r="F170" s="2" t="n"/>
      <c r="G170" s="2" t="n"/>
      <c r="H170" s="8" t="n">
        <v>0.7864748629665408</v>
      </c>
      <c r="I170" s="8" t="n"/>
      <c r="J170" s="8" t="n"/>
      <c r="K170" s="8">
        <f>IF(COUNT(H170:J170)&gt;=2,MAX(H170:J170)-MIN(H170:J170),"")</f>
        <v/>
      </c>
      <c r="L170" s="9">
        <f>IF(ISNUMBER(K170),IF(MAX(ABS(MAX(H170:J170)),ABS(MIN(H170:J170)))=0,"",K170/MAX(ABS(MAX(H170:J170)),ABS(MIN(H170:J170)))),"")</f>
        <v/>
      </c>
      <c r="M170" s="2">
        <f>IF(AND(ISNUMBER(K170),ISNUMBER(L170)),IF(AND(K170&gt;=Ringkasan!$B$10,L170&gt;=Ringkasan!$B$11),"yes",""),"")</f>
        <v/>
      </c>
      <c r="N170" s="2" t="inlineStr">
        <is>
          <t>Vybe</t>
        </is>
      </c>
      <c r="O170" s="2" t="n"/>
      <c r="P170" s="2" t="n"/>
      <c r="S170" s="2" t="n"/>
      <c r="T170" s="2" t="n">
        <v>78</v>
      </c>
    </row>
    <row r="171">
      <c r="A171" s="2" t="inlineStr">
        <is>
          <t>BxEF9W4zSGjYFmh7XkVbP8BA1RD2FEwkx1LRsLqXS4fm</t>
        </is>
      </c>
      <c r="B171" s="2" t="n"/>
      <c r="C171" s="2">
        <f>COUNT(E171:G171)</f>
        <v/>
      </c>
      <c r="D171" s="2" t="inlineStr">
        <is>
          <t>Vybe</t>
        </is>
      </c>
      <c r="E171" s="2" t="n">
        <v>78</v>
      </c>
      <c r="F171" s="2" t="n"/>
      <c r="G171" s="2" t="n"/>
      <c r="H171" s="8" t="n">
        <v>0.6506671631185645</v>
      </c>
      <c r="I171" s="8" t="n"/>
      <c r="J171" s="8" t="n"/>
      <c r="K171" s="8">
        <f>IF(COUNT(H171:J171)&gt;=2,MAX(H171:J171)-MIN(H171:J171),"")</f>
        <v/>
      </c>
      <c r="L171" s="9">
        <f>IF(ISNUMBER(K171),IF(MAX(ABS(MAX(H171:J171)),ABS(MIN(H171:J171)))=0,"",K171/MAX(ABS(MAX(H171:J171)),ABS(MIN(H171:J171)))),"")</f>
        <v/>
      </c>
      <c r="M171" s="2">
        <f>IF(AND(ISNUMBER(K171),ISNUMBER(L171)),IF(AND(K171&gt;=Ringkasan!$B$10,L171&gt;=Ringkasan!$B$11),"yes",""),"")</f>
        <v/>
      </c>
      <c r="N171" s="2" t="inlineStr">
        <is>
          <t>Vybe</t>
        </is>
      </c>
      <c r="O171" s="2" t="n"/>
      <c r="P171" s="2" t="n"/>
      <c r="S171" s="2" t="n"/>
      <c r="T171" s="2" t="n">
        <v>79</v>
      </c>
    </row>
    <row r="172">
      <c r="A172" s="2" t="inlineStr">
        <is>
          <t>8EVm5rpNU41ozQaQrE51jnT1ESHJpYCgjf3YgxipXueC</t>
        </is>
      </c>
      <c r="B172" s="2" t="n"/>
      <c r="C172" s="2">
        <f>COUNT(E172:G172)</f>
        <v/>
      </c>
      <c r="D172" s="2" t="inlineStr">
        <is>
          <t>Vybe</t>
        </is>
      </c>
      <c r="E172" s="2" t="n">
        <v>79</v>
      </c>
      <c r="F172" s="2" t="n"/>
      <c r="G172" s="2" t="n"/>
      <c r="H172" s="8" t="n">
        <v>0.6246689665408237</v>
      </c>
      <c r="I172" s="8" t="n"/>
      <c r="J172" s="8" t="n"/>
      <c r="K172" s="8">
        <f>IF(COUNT(H172:J172)&gt;=2,MAX(H172:J172)-MIN(H172:J172),"")</f>
        <v/>
      </c>
      <c r="L172" s="9">
        <f>IF(ISNUMBER(K172),IF(MAX(ABS(MAX(H172:J172)),ABS(MIN(H172:J172)))=0,"",K172/MAX(ABS(MAX(H172:J172)),ABS(MIN(H172:J172)))),"")</f>
        <v/>
      </c>
      <c r="M172" s="2">
        <f>IF(AND(ISNUMBER(K172),ISNUMBER(L172)),IF(AND(K172&gt;=Ringkasan!$B$10,L172&gt;=Ringkasan!$B$11),"yes",""),"")</f>
        <v/>
      </c>
      <c r="N172" s="2" t="inlineStr">
        <is>
          <t>Vybe</t>
        </is>
      </c>
      <c r="O172" s="2" t="n"/>
      <c r="P172" s="2" t="n"/>
      <c r="S172" s="2" t="n"/>
      <c r="T172" s="2" t="n">
        <v>80</v>
      </c>
    </row>
    <row r="173">
      <c r="A173" s="2" t="inlineStr">
        <is>
          <t>J7ZL5jvSU2owsBaSGSmGPLR28ZxeEAP4sxUhe7sWy38Q</t>
        </is>
      </c>
      <c r="B173" s="2" t="n"/>
      <c r="C173" s="2">
        <f>COUNT(E173:G173)</f>
        <v/>
      </c>
      <c r="D173" s="2" t="inlineStr">
        <is>
          <t>Vybe</t>
        </is>
      </c>
      <c r="E173" s="2" t="n">
        <v>80</v>
      </c>
      <c r="F173" s="2" t="n"/>
      <c r="G173" s="2" t="n"/>
      <c r="H173" s="8" t="n">
        <v>0.6059285647497372</v>
      </c>
      <c r="I173" s="8" t="n"/>
      <c r="J173" s="8" t="n"/>
      <c r="K173" s="8">
        <f>IF(COUNT(H173:J173)&gt;=2,MAX(H173:J173)-MIN(H173:J173),"")</f>
        <v/>
      </c>
      <c r="L173" s="9">
        <f>IF(ISNUMBER(K173),IF(MAX(ABS(MAX(H173:J173)),ABS(MIN(H173:J173)))=0,"",K173/MAX(ABS(MAX(H173:J173)),ABS(MIN(H173:J173)))),"")</f>
        <v/>
      </c>
      <c r="M173" s="2">
        <f>IF(AND(ISNUMBER(K173),ISNUMBER(L173)),IF(AND(K173&gt;=Ringkasan!$B$10,L173&gt;=Ringkasan!$B$11),"yes",""),"")</f>
        <v/>
      </c>
      <c r="N173" s="2" t="inlineStr">
        <is>
          <t>Vybe</t>
        </is>
      </c>
      <c r="O173" s="2" t="n"/>
      <c r="P173" s="2" t="n"/>
      <c r="S173" s="2" t="n"/>
      <c r="T173" s="2" t="n">
        <v>81</v>
      </c>
    </row>
    <row r="174">
      <c r="A174" s="2" t="inlineStr">
        <is>
          <t>2SU3tHoSsjEMq17HRDxqGi2nMNYmTzLKTNJTjBTzFRBz</t>
        </is>
      </c>
      <c r="B174" s="2" t="n"/>
      <c r="C174" s="2">
        <f>COUNT(E174:G174)</f>
        <v/>
      </c>
      <c r="D174" s="2" t="inlineStr">
        <is>
          <t>Vybe</t>
        </is>
      </c>
      <c r="E174" s="2" t="n">
        <v>81</v>
      </c>
      <c r="F174" s="2" t="n"/>
      <c r="G174" s="2" t="n"/>
      <c r="H174" s="8" t="n">
        <v>0.573750146013839</v>
      </c>
      <c r="I174" s="8" t="n"/>
      <c r="J174" s="8" t="n"/>
      <c r="K174" s="8">
        <f>IF(COUNT(H174:J174)&gt;=2,MAX(H174:J174)-MIN(H174:J174),"")</f>
        <v/>
      </c>
      <c r="L174" s="9">
        <f>IF(ISNUMBER(K174),IF(MAX(ABS(MAX(H174:J174)),ABS(MIN(H174:J174)))=0,"",K174/MAX(ABS(MAX(H174:J174)),ABS(MIN(H174:J174)))),"")</f>
        <v/>
      </c>
      <c r="M174" s="2">
        <f>IF(AND(ISNUMBER(K174),ISNUMBER(L174)),IF(AND(K174&gt;=Ringkasan!$B$10,L174&gt;=Ringkasan!$B$11),"yes",""),"")</f>
        <v/>
      </c>
      <c r="N174" s="2" t="inlineStr">
        <is>
          <t>Vybe</t>
        </is>
      </c>
      <c r="O174" s="2" t="n"/>
      <c r="P174" s="2" t="n"/>
      <c r="S174" s="2" t="n"/>
      <c r="T174" s="2" t="n">
        <v>82</v>
      </c>
    </row>
    <row r="175">
      <c r="A175" s="2" t="inlineStr">
        <is>
          <t>9LGjXs2u3c9sVtaJDm22EzyhyzQoPjvaFJHs4LJWg9EB</t>
        </is>
      </c>
      <c r="B175" s="2" t="n"/>
      <c r="C175" s="2">
        <f>COUNT(E175:G175)</f>
        <v/>
      </c>
      <c r="D175" s="2" t="inlineStr">
        <is>
          <t>Vybe</t>
        </is>
      </c>
      <c r="E175" s="2" t="n">
        <v>82</v>
      </c>
      <c r="F175" s="2" t="n"/>
      <c r="G175" s="2" t="n"/>
      <c r="H175" s="8" t="n">
        <v>0.5204318617056938</v>
      </c>
      <c r="I175" s="8" t="n"/>
      <c r="J175" s="8" t="n"/>
      <c r="K175" s="8">
        <f>IF(COUNT(H175:J175)&gt;=2,MAX(H175:J175)-MIN(H175:J175),"")</f>
        <v/>
      </c>
      <c r="L175" s="9">
        <f>IF(ISNUMBER(K175),IF(MAX(ABS(MAX(H175:J175)),ABS(MIN(H175:J175)))=0,"",K175/MAX(ABS(MAX(H175:J175)),ABS(MIN(H175:J175)))),"")</f>
        <v/>
      </c>
      <c r="M175" s="2">
        <f>IF(AND(ISNUMBER(K175),ISNUMBER(L175)),IF(AND(K175&gt;=Ringkasan!$B$10,L175&gt;=Ringkasan!$B$11),"yes",""),"")</f>
        <v/>
      </c>
      <c r="N175" s="2" t="inlineStr">
        <is>
          <t>Vybe</t>
        </is>
      </c>
      <c r="O175" s="2" t="n"/>
      <c r="P175" s="2" t="n"/>
      <c r="S175" s="2" t="n"/>
      <c r="T175" s="2" t="n">
        <v>83</v>
      </c>
    </row>
    <row r="176">
      <c r="A176" s="2" t="inlineStr">
        <is>
          <t>CVvvk68Xzfq69JgbVtf2XurtHb6ssnRTiorL34q5FDKC</t>
        </is>
      </c>
      <c r="B176" s="2" t="n"/>
      <c r="C176" s="2">
        <f>COUNT(E176:G176)</f>
        <v/>
      </c>
      <c r="D176" s="2" t="inlineStr">
        <is>
          <t>Vybe</t>
        </is>
      </c>
      <c r="E176" s="2" t="n">
        <v>83</v>
      </c>
      <c r="F176" s="2" t="n"/>
      <c r="G176" s="2" t="n"/>
      <c r="H176" s="8" t="n">
        <v>0.4640054000109605</v>
      </c>
      <c r="I176" s="8" t="n"/>
      <c r="J176" s="8" t="n"/>
      <c r="K176" s="8">
        <f>IF(COUNT(H176:J176)&gt;=2,MAX(H176:J176)-MIN(H176:J176),"")</f>
        <v/>
      </c>
      <c r="L176" s="9">
        <f>IF(ISNUMBER(K176),IF(MAX(ABS(MAX(H176:J176)),ABS(MIN(H176:J176)))=0,"",K176/MAX(ABS(MAX(H176:J176)),ABS(MIN(H176:J176)))),"")</f>
        <v/>
      </c>
      <c r="M176" s="2">
        <f>IF(AND(ISNUMBER(K176),ISNUMBER(L176)),IF(AND(K176&gt;=Ringkasan!$B$10,L176&gt;=Ringkasan!$B$11),"yes",""),"")</f>
        <v/>
      </c>
      <c r="N176" s="2" t="inlineStr">
        <is>
          <t>Vybe</t>
        </is>
      </c>
      <c r="O176" s="2" t="n"/>
      <c r="P176" s="2" t="n"/>
      <c r="S176" s="2" t="n"/>
      <c r="T176" s="2" t="n">
        <v>84</v>
      </c>
    </row>
    <row r="177">
      <c r="A177" s="2" t="inlineStr">
        <is>
          <t>3uZHd6GWwR4c5aTJnFs69Nfjcf9BGsZDz3yBJKJgKQKq</t>
        </is>
      </c>
      <c r="B177" s="2" t="n"/>
      <c r="C177" s="2">
        <f>COUNT(E177:G177)</f>
        <v/>
      </c>
      <c r="D177" s="2" t="inlineStr">
        <is>
          <t>Vybe</t>
        </is>
      </c>
      <c r="E177" s="2" t="n">
        <v>84</v>
      </c>
      <c r="F177" s="2" t="n"/>
      <c r="G177" s="2" t="n"/>
      <c r="H177" s="8" t="n">
        <v>0.4382688837317301</v>
      </c>
      <c r="I177" s="8" t="n"/>
      <c r="J177" s="8" t="n"/>
      <c r="K177" s="8">
        <f>IF(COUNT(H177:J177)&gt;=2,MAX(H177:J177)-MIN(H177:J177),"")</f>
        <v/>
      </c>
      <c r="L177" s="9">
        <f>IF(ISNUMBER(K177),IF(MAX(ABS(MAX(H177:J177)),ABS(MIN(H177:J177)))=0,"",K177/MAX(ABS(MAX(H177:J177)),ABS(MIN(H177:J177)))),"")</f>
        <v/>
      </c>
      <c r="M177" s="2">
        <f>IF(AND(ISNUMBER(K177),ISNUMBER(L177)),IF(AND(K177&gt;=Ringkasan!$B$10,L177&gt;=Ringkasan!$B$11),"yes",""),"")</f>
        <v/>
      </c>
      <c r="N177" s="2" t="inlineStr">
        <is>
          <t>Vybe</t>
        </is>
      </c>
      <c r="O177" s="2" t="n"/>
      <c r="P177" s="2" t="n"/>
      <c r="S177" s="2" t="n"/>
      <c r="T177" s="2" t="n">
        <v>85</v>
      </c>
    </row>
    <row r="178">
      <c r="A178" s="2" t="inlineStr">
        <is>
          <t>HJ99HNYE7V9EEiEZ92gnE8NyQPJGJDdeuqBuQrPpMR6m</t>
        </is>
      </c>
      <c r="B178" s="2" t="n"/>
      <c r="C178" s="2">
        <f>COUNT(E178:G178)</f>
        <v/>
      </c>
      <c r="D178" s="2" t="inlineStr">
        <is>
          <t>Vybe</t>
        </is>
      </c>
      <c r="E178" s="2" t="n">
        <v>85</v>
      </c>
      <c r="F178" s="2" t="n"/>
      <c r="G178" s="2" t="n"/>
      <c r="H178" s="8" t="n">
        <v>0.3785429962103319</v>
      </c>
      <c r="I178" s="8" t="n"/>
      <c r="J178" s="8" t="n"/>
      <c r="K178" s="8">
        <f>IF(COUNT(H178:J178)&gt;=2,MAX(H178:J178)-MIN(H178:J178),"")</f>
        <v/>
      </c>
      <c r="L178" s="9">
        <f>IF(ISNUMBER(K178),IF(MAX(ABS(MAX(H178:J178)),ABS(MIN(H178:J178)))=0,"",K178/MAX(ABS(MAX(H178:J178)),ABS(MIN(H178:J178)))),"")</f>
        <v/>
      </c>
      <c r="M178" s="2">
        <f>IF(AND(ISNUMBER(K178),ISNUMBER(L178)),IF(AND(K178&gt;=Ringkasan!$B$10,L178&gt;=Ringkasan!$B$11),"yes",""),"")</f>
        <v/>
      </c>
      <c r="N178" s="2" t="inlineStr">
        <is>
          <t>Vybe</t>
        </is>
      </c>
      <c r="O178" s="2" t="n"/>
      <c r="P178" s="2" t="n"/>
      <c r="S178" s="2" t="n"/>
      <c r="T178" s="2" t="n">
        <v>86</v>
      </c>
    </row>
    <row r="179">
      <c r="A179" s="2" t="inlineStr">
        <is>
          <t>4x9xL4Fp8BJwGVJKyTqCZGhSbdF17tdyfhcr6vpBPzbE</t>
        </is>
      </c>
      <c r="B179" s="2" t="n"/>
      <c r="C179" s="2">
        <f>COUNT(E179:G179)</f>
        <v/>
      </c>
      <c r="D179" s="2" t="inlineStr">
        <is>
          <t>Vybe</t>
        </is>
      </c>
      <c r="E179" s="2" t="n">
        <v>86</v>
      </c>
      <c r="F179" s="2" t="n"/>
      <c r="G179" s="2" t="n"/>
      <c r="H179" s="8" t="n">
        <v>0.3426949376046338</v>
      </c>
      <c r="I179" s="8" t="n"/>
      <c r="J179" s="8" t="n"/>
      <c r="K179" s="8">
        <f>IF(COUNT(H179:J179)&gt;=2,MAX(H179:J179)-MIN(H179:J179),"")</f>
        <v/>
      </c>
      <c r="L179" s="9">
        <f>IF(ISNUMBER(K179),IF(MAX(ABS(MAX(H179:J179)),ABS(MIN(H179:J179)))=0,"",K179/MAX(ABS(MAX(H179:J179)),ABS(MIN(H179:J179)))),"")</f>
        <v/>
      </c>
      <c r="M179" s="2">
        <f>IF(AND(ISNUMBER(K179),ISNUMBER(L179)),IF(AND(K179&gt;=Ringkasan!$B$10,L179&gt;=Ringkasan!$B$11),"yes",""),"")</f>
        <v/>
      </c>
      <c r="N179" s="2" t="inlineStr">
        <is>
          <t>Vybe</t>
        </is>
      </c>
      <c r="O179" s="2" t="n"/>
      <c r="P179" s="2" t="n"/>
      <c r="S179" s="2" t="n"/>
      <c r="T179" s="2" t="n">
        <v>87</v>
      </c>
    </row>
    <row r="180">
      <c r="A180" s="2" t="inlineStr">
        <is>
          <t>9WhBG1F7d6AcgZU8chCvggmyY5Una1aNjFcbPrSdTRZR</t>
        </is>
      </c>
      <c r="B180" s="2" t="n"/>
      <c r="C180" s="2">
        <f>COUNT(E180:G180)</f>
        <v/>
      </c>
      <c r="D180" s="2" t="inlineStr">
        <is>
          <t>Vybe</t>
        </is>
      </c>
      <c r="E180" s="2" t="n">
        <v>87</v>
      </c>
      <c r="F180" s="2" t="n"/>
      <c r="G180" s="2" t="n"/>
      <c r="H180" s="8" t="n">
        <v>0.2152941970645788</v>
      </c>
      <c r="I180" s="8" t="n"/>
      <c r="J180" s="8" t="n"/>
      <c r="K180" s="8">
        <f>IF(COUNT(H180:J180)&gt;=2,MAX(H180:J180)-MIN(H180:J180),"")</f>
        <v/>
      </c>
      <c r="L180" s="9">
        <f>IF(ISNUMBER(K180),IF(MAX(ABS(MAX(H180:J180)),ABS(MIN(H180:J180)))=0,"",K180/MAX(ABS(MAX(H180:J180)),ABS(MIN(H180:J180)))),"")</f>
        <v/>
      </c>
      <c r="M180" s="2">
        <f>IF(AND(ISNUMBER(K180),ISNUMBER(L180)),IF(AND(K180&gt;=Ringkasan!$B$10,L180&gt;=Ringkasan!$B$11),"yes",""),"")</f>
        <v/>
      </c>
      <c r="N180" s="2" t="inlineStr">
        <is>
          <t>Vybe</t>
        </is>
      </c>
      <c r="O180" s="2" t="n"/>
      <c r="P180" s="2" t="n"/>
      <c r="S180" s="2" t="n"/>
      <c r="T180" s="2" t="n">
        <v>88</v>
      </c>
    </row>
    <row r="181">
      <c r="A181" s="2" t="inlineStr">
        <is>
          <t>8KWadyuJdwiRkC2Td3NJUAGFqHHpoh5HvAbw2DX93tjR</t>
        </is>
      </c>
      <c r="B181" s="2" t="n"/>
      <c r="C181" s="2">
        <f>COUNT(E181:G181)</f>
        <v/>
      </c>
      <c r="D181" s="2" t="inlineStr">
        <is>
          <t>Vybe</t>
        </is>
      </c>
      <c r="E181" s="2" t="n">
        <v>88</v>
      </c>
      <c r="F181" s="2" t="n"/>
      <c r="G181" s="2" t="n"/>
      <c r="H181" s="8" t="n">
        <v>0.2147304781615073</v>
      </c>
      <c r="I181" s="8" t="n"/>
      <c r="J181" s="8" t="n"/>
      <c r="K181" s="8">
        <f>IF(COUNT(H181:J181)&gt;=2,MAX(H181:J181)-MIN(H181:J181),"")</f>
        <v/>
      </c>
      <c r="L181" s="9">
        <f>IF(ISNUMBER(K181),IF(MAX(ABS(MAX(H181:J181)),ABS(MIN(H181:J181)))=0,"",K181/MAX(ABS(MAX(H181:J181)),ABS(MIN(H181:J181)))),"")</f>
        <v/>
      </c>
      <c r="M181" s="2">
        <f>IF(AND(ISNUMBER(K181),ISNUMBER(L181)),IF(AND(K181&gt;=Ringkasan!$B$10,L181&gt;=Ringkasan!$B$11),"yes",""),"")</f>
        <v/>
      </c>
      <c r="N181" s="2" t="inlineStr">
        <is>
          <t>Vybe</t>
        </is>
      </c>
      <c r="O181" s="2" t="n"/>
      <c r="P181" s="2" t="n"/>
      <c r="S181" s="2" t="n"/>
      <c r="T181" s="2" t="n">
        <v>89</v>
      </c>
    </row>
    <row r="182">
      <c r="A182" s="2" t="inlineStr">
        <is>
          <t>2tAA8rRrtSD6wUTjk334xx7QQ1G22ShLrsBtAUwAAeyp</t>
        </is>
      </c>
      <c r="B182" s="2" t="n"/>
      <c r="C182" s="2">
        <f>COUNT(E182:G182)</f>
        <v/>
      </c>
      <c r="D182" s="2" t="inlineStr">
        <is>
          <t>Vybe</t>
        </is>
      </c>
      <c r="E182" s="2" t="n">
        <v>89</v>
      </c>
      <c r="F182" s="2" t="n"/>
      <c r="G182" s="2" t="n"/>
      <c r="H182" s="8" t="n">
        <v>0.1892235961839916</v>
      </c>
      <c r="I182" s="8" t="n"/>
      <c r="J182" s="8" t="n"/>
      <c r="K182" s="8">
        <f>IF(COUNT(H182:J182)&gt;=2,MAX(H182:J182)-MIN(H182:J182),"")</f>
        <v/>
      </c>
      <c r="L182" s="9">
        <f>IF(ISNUMBER(K182),IF(MAX(ABS(MAX(H182:J182)),ABS(MIN(H182:J182)))=0,"",K182/MAX(ABS(MAX(H182:J182)),ABS(MIN(H182:J182)))),"")</f>
        <v/>
      </c>
      <c r="M182" s="2">
        <f>IF(AND(ISNUMBER(K182),ISNUMBER(L182)),IF(AND(K182&gt;=Ringkasan!$B$10,L182&gt;=Ringkasan!$B$11),"yes",""),"")</f>
        <v/>
      </c>
      <c r="N182" s="2" t="inlineStr">
        <is>
          <t>Vybe</t>
        </is>
      </c>
      <c r="O182" s="2" t="n"/>
      <c r="P182" s="2" t="n"/>
      <c r="S182" s="2" t="n"/>
      <c r="T182" s="2" t="n">
        <v>90</v>
      </c>
    </row>
    <row r="183">
      <c r="A183" s="2" t="inlineStr">
        <is>
          <t>5sfXhPPavP7SqVJ5SmbCWuG5ZRZnKz5BufruvmhZPBgY</t>
        </is>
      </c>
      <c r="B183" s="2" t="n"/>
      <c r="C183" s="2">
        <f>COUNT(E183:G183)</f>
        <v/>
      </c>
      <c r="D183" s="2" t="inlineStr">
        <is>
          <t>Vybe</t>
        </is>
      </c>
      <c r="E183" s="2" t="n">
        <v>90</v>
      </c>
      <c r="F183" s="2" t="n"/>
      <c r="G183" s="2" t="n"/>
      <c r="H183" s="8" t="n">
        <v>0.187014406802565</v>
      </c>
      <c r="I183" s="8" t="n"/>
      <c r="J183" s="8" t="n"/>
      <c r="K183" s="8">
        <f>IF(COUNT(H183:J183)&gt;=2,MAX(H183:J183)-MIN(H183:J183),"")</f>
        <v/>
      </c>
      <c r="L183" s="9">
        <f>IF(ISNUMBER(K183),IF(MAX(ABS(MAX(H183:J183)),ABS(MIN(H183:J183)))=0,"",K183/MAX(ABS(MAX(H183:J183)),ABS(MIN(H183:J183)))),"")</f>
        <v/>
      </c>
      <c r="M183" s="2">
        <f>IF(AND(ISNUMBER(K183),ISNUMBER(L183)),IF(AND(K183&gt;=Ringkasan!$B$10,L183&gt;=Ringkasan!$B$11),"yes",""),"")</f>
        <v/>
      </c>
      <c r="N183" s="2" t="inlineStr">
        <is>
          <t>Vybe</t>
        </is>
      </c>
      <c r="O183" s="2" t="n"/>
      <c r="P183" s="2" t="n"/>
      <c r="S183" s="2" t="n"/>
      <c r="T183" s="2" t="n">
        <v>91</v>
      </c>
    </row>
    <row r="184">
      <c r="A184" s="2" t="inlineStr">
        <is>
          <t>D75hkiRh9Rwo3yk9anYN79P7J9t6G4Deoznou8EB5Xbo</t>
        </is>
      </c>
      <c r="B184" s="2" t="n"/>
      <c r="C184" s="2">
        <f>COUNT(E184:G184)</f>
        <v/>
      </c>
      <c r="D184" s="2" t="inlineStr">
        <is>
          <t>Vybe</t>
        </is>
      </c>
      <c r="E184" s="2" t="n">
        <v>91</v>
      </c>
      <c r="F184" s="2" t="n"/>
      <c r="G184" s="2" t="n"/>
      <c r="H184" s="8" t="n">
        <v>0.1517463253201585</v>
      </c>
      <c r="I184" s="8" t="n"/>
      <c r="J184" s="8" t="n"/>
      <c r="K184" s="8">
        <f>IF(COUNT(H184:J184)&gt;=2,MAX(H184:J184)-MIN(H184:J184),"")</f>
        <v/>
      </c>
      <c r="L184" s="9">
        <f>IF(ISNUMBER(K184),IF(MAX(ABS(MAX(H184:J184)),ABS(MIN(H184:J184)))=0,"",K184/MAX(ABS(MAX(H184:J184)),ABS(MIN(H184:J184)))),"")</f>
        <v/>
      </c>
      <c r="M184" s="2">
        <f>IF(AND(ISNUMBER(K184),ISNUMBER(L184)),IF(AND(K184&gt;=Ringkasan!$B$10,L184&gt;=Ringkasan!$B$11),"yes",""),"")</f>
        <v/>
      </c>
      <c r="N184" s="2" t="inlineStr">
        <is>
          <t>Vybe</t>
        </is>
      </c>
      <c r="O184" s="2" t="n"/>
      <c r="P184" s="2" t="n"/>
      <c r="S184" s="2" t="n"/>
      <c r="T184" s="2" t="n">
        <v>92</v>
      </c>
    </row>
    <row r="185">
      <c r="A185" s="2" t="inlineStr">
        <is>
          <t>7Sda4tb4GmhxL4x7pjqxLxM7XSF7pYXJqmR7zENb9Kq7</t>
        </is>
      </c>
      <c r="B185" s="2" t="n"/>
      <c r="C185" s="2">
        <f>COUNT(E185:G185)</f>
        <v/>
      </c>
      <c r="D185" s="2" t="inlineStr">
        <is>
          <t>Vybe</t>
        </is>
      </c>
      <c r="E185" s="2" t="n">
        <v>92</v>
      </c>
      <c r="F185" s="2" t="n"/>
      <c r="G185" s="2" t="n"/>
      <c r="H185" s="8" t="n">
        <v>0.1287690238239192</v>
      </c>
      <c r="I185" s="8" t="n"/>
      <c r="J185" s="8" t="n"/>
      <c r="K185" s="8">
        <f>IF(COUNT(H185:J185)&gt;=2,MAX(H185:J185)-MIN(H185:J185),"")</f>
        <v/>
      </c>
      <c r="L185" s="9">
        <f>IF(ISNUMBER(K185),IF(MAX(ABS(MAX(H185:J185)),ABS(MIN(H185:J185)))=0,"",K185/MAX(ABS(MAX(H185:J185)),ABS(MIN(H185:J185)))),"")</f>
        <v/>
      </c>
      <c r="M185" s="2">
        <f>IF(AND(ISNUMBER(K185),ISNUMBER(L185)),IF(AND(K185&gt;=Ringkasan!$B$10,L185&gt;=Ringkasan!$B$11),"yes",""),"")</f>
        <v/>
      </c>
      <c r="N185" s="2" t="inlineStr">
        <is>
          <t>Vybe</t>
        </is>
      </c>
      <c r="O185" s="2" t="n"/>
      <c r="P185" s="2" t="n"/>
      <c r="S185" s="2" t="n"/>
      <c r="T185" s="2" t="n">
        <v>93</v>
      </c>
    </row>
    <row r="186">
      <c r="A186" s="2" t="inlineStr">
        <is>
          <t>6eV2MZJJP2mkWQBdNPrNWVcRGEKGPUnMSMFwFThVq9oA</t>
        </is>
      </c>
      <c r="B186" s="2" t="n"/>
      <c r="C186" s="2">
        <f>COUNT(E186:G186)</f>
        <v/>
      </c>
      <c r="D186" s="2" t="inlineStr">
        <is>
          <t>Vybe</t>
        </is>
      </c>
      <c r="E186" s="2" t="n">
        <v>93</v>
      </c>
      <c r="F186" s="2" t="n"/>
      <c r="G186" s="2" t="n"/>
      <c r="H186" s="8" t="n">
        <v>0.1285594154421766</v>
      </c>
      <c r="I186" s="8" t="n"/>
      <c r="J186" s="8" t="n"/>
      <c r="K186" s="8">
        <f>IF(COUNT(H186:J186)&gt;=2,MAX(H186:J186)-MIN(H186:J186),"")</f>
        <v/>
      </c>
      <c r="L186" s="9">
        <f>IF(ISNUMBER(K186),IF(MAX(ABS(MAX(H186:J186)),ABS(MIN(H186:J186)))=0,"",K186/MAX(ABS(MAX(H186:J186)),ABS(MIN(H186:J186)))),"")</f>
        <v/>
      </c>
      <c r="M186" s="2">
        <f>IF(AND(ISNUMBER(K186),ISNUMBER(L186)),IF(AND(K186&gt;=Ringkasan!$B$10,L186&gt;=Ringkasan!$B$11),"yes",""),"")</f>
        <v/>
      </c>
      <c r="N186" s="2" t="inlineStr">
        <is>
          <t>Vybe</t>
        </is>
      </c>
      <c r="O186" s="2" t="n"/>
      <c r="P186" s="2" t="n"/>
      <c r="S186" s="2" t="n"/>
      <c r="T186" s="2" t="n">
        <v>94</v>
      </c>
    </row>
    <row r="187">
      <c r="A187" s="2" t="inlineStr">
        <is>
          <t>J59NiwmcoiKnhsbtvfiS1PRV21UhJjciPKpA4HhFzkmU</t>
        </is>
      </c>
      <c r="B187" s="2" t="n"/>
      <c r="C187" s="2">
        <f>COUNT(E187:G187)</f>
        <v/>
      </c>
      <c r="D187" s="2" t="inlineStr">
        <is>
          <t>Vybe</t>
        </is>
      </c>
      <c r="E187" s="2" t="n">
        <v>94</v>
      </c>
      <c r="F187" s="2" t="n"/>
      <c r="G187" s="2" t="n"/>
      <c r="H187" s="8" t="n">
        <v>0.1110720924509198</v>
      </c>
      <c r="I187" s="8" t="n"/>
      <c r="J187" s="8" t="n"/>
      <c r="K187" s="8">
        <f>IF(COUNT(H187:J187)&gt;=2,MAX(H187:J187)-MIN(H187:J187),"")</f>
        <v/>
      </c>
      <c r="L187" s="9">
        <f>IF(ISNUMBER(K187),IF(MAX(ABS(MAX(H187:J187)),ABS(MIN(H187:J187)))=0,"",K187/MAX(ABS(MAX(H187:J187)),ABS(MIN(H187:J187)))),"")</f>
        <v/>
      </c>
      <c r="M187" s="2">
        <f>IF(AND(ISNUMBER(K187),ISNUMBER(L187)),IF(AND(K187&gt;=Ringkasan!$B$10,L187&gt;=Ringkasan!$B$11),"yes",""),"")</f>
        <v/>
      </c>
      <c r="N187" s="2" t="inlineStr">
        <is>
          <t>Vybe</t>
        </is>
      </c>
      <c r="O187" s="2" t="n"/>
      <c r="P187" s="2" t="n"/>
      <c r="S187" s="2" t="n"/>
      <c r="T187" s="2" t="n">
        <v>95</v>
      </c>
    </row>
    <row r="188">
      <c r="A188" s="2" t="inlineStr">
        <is>
          <t>bSPszvyPuyufooVgaetYFByPMdV4ZkXimE9zgssvA5L</t>
        </is>
      </c>
      <c r="B188" s="2" t="n"/>
      <c r="C188" s="2">
        <f>COUNT(E188:G188)</f>
        <v/>
      </c>
      <c r="D188" s="2" t="inlineStr">
        <is>
          <t>Vybe</t>
        </is>
      </c>
      <c r="E188" s="2" t="n">
        <v>95</v>
      </c>
      <c r="F188" s="2" t="n"/>
      <c r="G188" s="2" t="n"/>
      <c r="H188" s="8" t="n">
        <v>0.1081979856034778</v>
      </c>
      <c r="I188" s="8" t="n"/>
      <c r="J188" s="8" t="n"/>
      <c r="K188" s="8">
        <f>IF(COUNT(H188:J188)&gt;=2,MAX(H188:J188)-MIN(H188:J188),"")</f>
        <v/>
      </c>
      <c r="L188" s="9">
        <f>IF(ISNUMBER(K188),IF(MAX(ABS(MAX(H188:J188)),ABS(MIN(H188:J188)))=0,"",K188/MAX(ABS(MAX(H188:J188)),ABS(MIN(H188:J188)))),"")</f>
        <v/>
      </c>
      <c r="M188" s="2">
        <f>IF(AND(ISNUMBER(K188),ISNUMBER(L188)),IF(AND(K188&gt;=Ringkasan!$B$10,L188&gt;=Ringkasan!$B$11),"yes",""),"")</f>
        <v/>
      </c>
      <c r="N188" s="2" t="inlineStr">
        <is>
          <t>Vybe</t>
        </is>
      </c>
      <c r="O188" s="2" t="n"/>
      <c r="P188" s="2" t="n"/>
      <c r="S188" s="2" t="n"/>
      <c r="T188" s="2" t="n">
        <v>96</v>
      </c>
    </row>
    <row r="189">
      <c r="A189" s="2" t="inlineStr">
        <is>
          <t>GWVvc42ii2TSaD7a3t9qYbK7JAgNVewYTtbg8oz8V3ak</t>
        </is>
      </c>
      <c r="B189" s="2" t="n"/>
      <c r="C189" s="2">
        <f>COUNT(E189:G189)</f>
        <v/>
      </c>
      <c r="D189" s="2" t="inlineStr">
        <is>
          <t>Vybe</t>
        </is>
      </c>
      <c r="E189" s="2" t="n">
        <v>96</v>
      </c>
      <c r="F189" s="2" t="n"/>
      <c r="G189" s="2" t="n"/>
      <c r="H189" s="8" t="n">
        <v>0.06381947358882163</v>
      </c>
      <c r="I189" s="8" t="n"/>
      <c r="J189" s="8" t="n"/>
      <c r="K189" s="8">
        <f>IF(COUNT(H189:J189)&gt;=2,MAX(H189:J189)-MIN(H189:J189),"")</f>
        <v/>
      </c>
      <c r="L189" s="9">
        <f>IF(ISNUMBER(K189),IF(MAX(ABS(MAX(H189:J189)),ABS(MIN(H189:J189)))=0,"",K189/MAX(ABS(MAX(H189:J189)),ABS(MIN(H189:J189)))),"")</f>
        <v/>
      </c>
      <c r="M189" s="2">
        <f>IF(AND(ISNUMBER(K189),ISNUMBER(L189)),IF(AND(K189&gt;=Ringkasan!$B$10,L189&gt;=Ringkasan!$B$11),"yes",""),"")</f>
        <v/>
      </c>
      <c r="N189" s="2" t="inlineStr">
        <is>
          <t>Vybe</t>
        </is>
      </c>
      <c r="O189" s="2" t="n"/>
      <c r="P189" s="2" t="n"/>
      <c r="S189" s="2" t="n"/>
      <c r="T189" s="2" t="n">
        <v>97</v>
      </c>
    </row>
    <row r="190">
      <c r="A190" s="2" t="inlineStr">
        <is>
          <t>5PrjBpeCun769BHVBRSpbiiFD1eKWtpGnGTnSWR6uoyj</t>
        </is>
      </c>
      <c r="B190" s="2" t="n"/>
      <c r="C190" s="2">
        <f>COUNT(E190:G190)</f>
        <v/>
      </c>
      <c r="D190" s="2" t="inlineStr">
        <is>
          <t>Vybe</t>
        </is>
      </c>
      <c r="E190" s="2" t="n">
        <v>97</v>
      </c>
      <c r="F190" s="2" t="n"/>
      <c r="G190" s="2" t="n"/>
      <c r="H190" s="8" t="n">
        <v>0.06090327864724316</v>
      </c>
      <c r="I190" s="8" t="n"/>
      <c r="J190" s="8" t="n"/>
      <c r="K190" s="8">
        <f>IF(COUNT(H190:J190)&gt;=2,MAX(H190:J190)-MIN(H190:J190),"")</f>
        <v/>
      </c>
      <c r="L190" s="9">
        <f>IF(ISNUMBER(K190),IF(MAX(ABS(MAX(H190:J190)),ABS(MIN(H190:J190)))=0,"",K190/MAX(ABS(MAX(H190:J190)),ABS(MIN(H190:J190)))),"")</f>
        <v/>
      </c>
      <c r="M190" s="2">
        <f>IF(AND(ISNUMBER(K190),ISNUMBER(L190)),IF(AND(K190&gt;=Ringkasan!$B$10,L190&gt;=Ringkasan!$B$11),"yes",""),"")</f>
        <v/>
      </c>
      <c r="N190" s="2" t="inlineStr">
        <is>
          <t>Vybe</t>
        </is>
      </c>
      <c r="O190" s="2" t="n"/>
      <c r="P190" s="2" t="n"/>
      <c r="S190" s="2" t="n"/>
      <c r="T190" s="2" t="n">
        <v>98</v>
      </c>
    </row>
    <row r="191">
      <c r="A191" s="2" t="inlineStr">
        <is>
          <t>9XDeYt4F7gyDRGnAkqMoiepnHbkPMXqSSdmWE59WckLt</t>
        </is>
      </c>
      <c r="B191" s="2" t="n"/>
      <c r="C191" s="2">
        <f>COUNT(E191:G191)</f>
        <v/>
      </c>
      <c r="D191" s="2" t="inlineStr">
        <is>
          <t>Vybe</t>
        </is>
      </c>
      <c r="E191" s="2" t="n">
        <v>98</v>
      </c>
      <c r="F191" s="2" t="n"/>
      <c r="G191" s="2" t="n"/>
      <c r="H191" s="8" t="n">
        <v>0.04311472114773527</v>
      </c>
      <c r="I191" s="8" t="n"/>
      <c r="J191" s="8" t="n"/>
      <c r="K191" s="8">
        <f>IF(COUNT(H191:J191)&gt;=2,MAX(H191:J191)-MIN(H191:J191),"")</f>
        <v/>
      </c>
      <c r="L191" s="9">
        <f>IF(ISNUMBER(K191),IF(MAX(ABS(MAX(H191:J191)),ABS(MIN(H191:J191)))=0,"",K191/MAX(ABS(MAX(H191:J191)),ABS(MIN(H191:J191)))),"")</f>
        <v/>
      </c>
      <c r="M191" s="2">
        <f>IF(AND(ISNUMBER(K191),ISNUMBER(L191)),IF(AND(K191&gt;=Ringkasan!$B$10,L191&gt;=Ringkasan!$B$11),"yes",""),"")</f>
        <v/>
      </c>
      <c r="N191" s="2" t="inlineStr">
        <is>
          <t>Vybe</t>
        </is>
      </c>
      <c r="O191" s="2" t="n"/>
      <c r="P191" s="2" t="n"/>
      <c r="S191" s="2" t="n"/>
      <c r="T191" s="2" t="n">
        <v>99</v>
      </c>
    </row>
    <row r="192">
      <c r="A192" s="2" t="inlineStr">
        <is>
          <t>3f7NgZGHykyitPyNozwueA3gNKGt56dciDxMbLHWkc7p</t>
        </is>
      </c>
      <c r="B192" s="2" t="n"/>
      <c r="C192" s="2">
        <f>COUNT(E192:G192)</f>
        <v/>
      </c>
      <c r="D192" s="2" t="inlineStr">
        <is>
          <t>Vybe</t>
        </is>
      </c>
      <c r="E192" s="2" t="n">
        <v>99</v>
      </c>
      <c r="F192" s="2" t="n"/>
      <c r="G192" s="2" t="n"/>
      <c r="H192" s="8" t="n">
        <v>0.02392942607872431</v>
      </c>
      <c r="I192" s="8" t="n"/>
      <c r="J192" s="8" t="n"/>
      <c r="K192" s="8">
        <f>IF(COUNT(H192:J192)&gt;=2,MAX(H192:J192)-MIN(H192:J192),"")</f>
        <v/>
      </c>
      <c r="L192" s="9">
        <f>IF(ISNUMBER(K192),IF(MAX(ABS(MAX(H192:J192)),ABS(MIN(H192:J192)))=0,"",K192/MAX(ABS(MAX(H192:J192)),ABS(MIN(H192:J192)))),"")</f>
        <v/>
      </c>
      <c r="M192" s="2">
        <f>IF(AND(ISNUMBER(K192),ISNUMBER(L192)),IF(AND(K192&gt;=Ringkasan!$B$10,L192&gt;=Ringkasan!$B$11),"yes",""),"")</f>
        <v/>
      </c>
      <c r="N192" s="2" t="inlineStr">
        <is>
          <t>Vybe</t>
        </is>
      </c>
      <c r="O192" s="2" t="n"/>
      <c r="P192" s="2" t="n"/>
      <c r="S192" s="2" t="n"/>
      <c r="T192" s="2" t="n">
        <v>100</v>
      </c>
    </row>
    <row r="193">
      <c r="A193" s="2" t="inlineStr">
        <is>
          <t>CwoRXhrvoKtcuMAk133ZVygmuY3EDH86ZDixXsQzCQEA</t>
        </is>
      </c>
      <c r="B193" s="2" t="n"/>
      <c r="C193" s="2">
        <f>COUNT(E193:G193)</f>
        <v/>
      </c>
      <c r="D193" s="2" t="inlineStr">
        <is>
          <t>Vybe</t>
        </is>
      </c>
      <c r="E193" s="2" t="n">
        <v>100</v>
      </c>
      <c r="F193" s="2" t="n"/>
      <c r="G193" s="2" t="n"/>
      <c r="H193" s="8" t="n">
        <v>0.007831540672673453</v>
      </c>
      <c r="I193" s="8" t="n"/>
      <c r="J193" s="8" t="n"/>
      <c r="K193" s="8">
        <f>IF(COUNT(H193:J193)&gt;=2,MAX(H193:J193)-MIN(H193:J193),"")</f>
        <v/>
      </c>
      <c r="L193" s="9">
        <f>IF(ISNUMBER(K193),IF(MAX(ABS(MAX(H193:J193)),ABS(MIN(H193:J193)))=0,"",K193/MAX(ABS(MAX(H193:J193)),ABS(MIN(H193:J193)))),"")</f>
        <v/>
      </c>
      <c r="M193" s="2">
        <f>IF(AND(ISNUMBER(K193),ISNUMBER(L193)),IF(AND(K193&gt;=Ringkasan!$B$10,L193&gt;=Ringkasan!$B$11),"yes",""),"")</f>
        <v/>
      </c>
      <c r="N193" s="2" t="inlineStr">
        <is>
          <t>Vybe</t>
        </is>
      </c>
      <c r="O193" s="2" t="n"/>
      <c r="P193" s="2" t="n"/>
      <c r="S193" s="2" t="n"/>
      <c r="T193" s="2" t="n">
        <v>101</v>
      </c>
    </row>
  </sheetData>
  <autoFilter ref="A1:V193"/>
  <conditionalFormatting sqref="K2:M193">
    <cfRule type="expression" priority="1" dxfId="0">
      <formula>$M2="yes"</formula>
    </cfRule>
  </conditionalFormatting>
  <conditionalFormatting sqref="O2:O193">
    <cfRule type="expression" priority="2" dxfId="0">
      <formula>LEN($O2)&gt;0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14" customWidth="1" min="3" max="3"/>
    <col width="8" customWidth="1" min="4" max="4"/>
    <col width="22" customWidth="1" min="5" max="5"/>
  </cols>
  <sheetData>
    <row r="1">
      <c r="A1" s="6" t="inlineStr">
        <is>
          <t>rank</t>
        </is>
      </c>
      <c r="B1" s="6" t="inlineStr">
        <is>
          <t>trader_address</t>
        </is>
      </c>
      <c r="C1" s="6" t="inlineStr">
        <is>
          <t>name</t>
        </is>
      </c>
      <c r="D1" s="6" t="inlineStr">
        <is>
          <t>labels</t>
        </is>
      </c>
      <c r="E1" s="6" t="inlineStr">
        <is>
          <t>realized_pnl_usd</t>
        </is>
      </c>
    </row>
    <row r="2">
      <c r="A2" s="2" t="n">
        <v>1</v>
      </c>
      <c r="B2" s="2" t="inlineStr">
        <is>
          <t>8rvAsDKeAcEjEkiZMug9k8v1y8mW6gQQiMobd89Uy7qR</t>
        </is>
      </c>
      <c r="C2" s="2" t="inlineStr">
        <is>
          <t>Casino</t>
        </is>
      </c>
      <c r="D2" s="2" t="inlineStr">
        <is>
          <t>KOL</t>
        </is>
      </c>
      <c r="E2" s="8" t="n">
        <v>2714.118497576989</v>
      </c>
    </row>
    <row r="3">
      <c r="A3" s="2" t="n">
        <v>2</v>
      </c>
      <c r="B3" s="2" t="inlineStr">
        <is>
          <t>4yo9CUuTBbds9NFhZd4MzPiZZkUvveXdTnAH8qMsE8ku</t>
        </is>
      </c>
      <c r="C3" s="2" t="inlineStr">
        <is>
          <t>Gfree</t>
        </is>
      </c>
      <c r="D3" s="2" t="inlineStr">
        <is>
          <t>KOL</t>
        </is>
      </c>
      <c r="E3" s="8" t="n">
        <v>1896.455533524687</v>
      </c>
    </row>
    <row r="4">
      <c r="A4" s="2" t="n">
        <v>3</v>
      </c>
      <c r="B4" s="2" t="inlineStr">
        <is>
          <t>AVjEtg2ECYKXYeqdRQXvaaAZBjfTjYuSMTR4WLhKoeQN</t>
        </is>
      </c>
      <c r="C4" s="2" t="inlineStr">
        <is>
          <t>Putrick</t>
        </is>
      </c>
      <c r="D4" s="2" t="inlineStr">
        <is>
          <t>KOL</t>
        </is>
      </c>
      <c r="E4" s="8" t="n">
        <v>974.7922812731276</v>
      </c>
    </row>
    <row r="5">
      <c r="A5" s="2" t="n">
        <v>4</v>
      </c>
      <c r="B5" s="2" t="inlineStr">
        <is>
          <t>HYSq1KBAvqWpEv1pCbV31muKM1za5A1WSHGdiVLUoNhb</t>
        </is>
      </c>
      <c r="C5" s="2" t="inlineStr">
        <is>
          <t>Apex 屮</t>
        </is>
      </c>
      <c r="D5" s="2" t="inlineStr">
        <is>
          <t>KOL</t>
        </is>
      </c>
      <c r="E5" s="8" t="n">
        <v>924.8145774490808</v>
      </c>
    </row>
    <row r="6">
      <c r="A6" s="2" t="n">
        <v>5</v>
      </c>
      <c r="B6" s="2" t="inlineStr">
        <is>
          <t>39q2g5tTQn9n7KnuapzwS2smSx3NGYqBoea11tBjsGEt</t>
        </is>
      </c>
      <c r="C6" s="2" t="inlineStr">
        <is>
          <t>Walta</t>
        </is>
      </c>
      <c r="D6" s="2" t="inlineStr">
        <is>
          <t>KOL</t>
        </is>
      </c>
      <c r="E6" s="8" t="n">
        <v>848.0698758011737</v>
      </c>
    </row>
    <row r="7">
      <c r="A7" s="2" t="n">
        <v>6</v>
      </c>
      <c r="B7" s="2" t="inlineStr">
        <is>
          <t>3L8RAxLkvwkz4CgHivaVRtq19741FAdGLk5DgjRfc1fW</t>
        </is>
      </c>
      <c r="C7" s="2" t="inlineStr">
        <is>
          <t>Inquixit</t>
        </is>
      </c>
      <c r="D7" s="2" t="inlineStr">
        <is>
          <t>KOL</t>
        </is>
      </c>
      <c r="E7" s="8" t="n">
        <v>780.7220159873192</v>
      </c>
    </row>
    <row r="8">
      <c r="A8" s="2" t="n">
        <v>7</v>
      </c>
      <c r="B8" s="2" t="inlineStr">
        <is>
          <t>9tY7u1HgEt2RDcxym3RJ9sfvT3aZStiiUwXd44X9RUr8</t>
        </is>
      </c>
      <c r="C8" s="2" t="inlineStr">
        <is>
          <t>Solana degen</t>
        </is>
      </c>
      <c r="D8" s="2" t="inlineStr">
        <is>
          <t>KOL</t>
        </is>
      </c>
      <c r="E8" s="8" t="n">
        <v>684.2061078749964</v>
      </c>
    </row>
    <row r="9">
      <c r="A9" s="2" t="n">
        <v>8</v>
      </c>
      <c r="B9" s="2" t="inlineStr">
        <is>
          <t>BTf4A2exGK9BCVDNzy65b9dUzXgMqB4weVkvTMFQsadd</t>
        </is>
      </c>
      <c r="C9" s="2" t="inlineStr">
        <is>
          <t>Kev</t>
        </is>
      </c>
      <c r="D9" s="2" t="inlineStr">
        <is>
          <t>KOL</t>
        </is>
      </c>
      <c r="E9" s="8" t="n">
        <v>491.604206015157</v>
      </c>
    </row>
    <row r="10">
      <c r="A10" s="2" t="n">
        <v>9</v>
      </c>
      <c r="B10" s="2" t="inlineStr">
        <is>
          <t>8fsKLLtvKNanL4ginCaiRS6UfeemY11rSf8U8fN1dJw4</t>
        </is>
      </c>
      <c r="C10" s="2" t="inlineStr">
        <is>
          <t>Stigman</t>
        </is>
      </c>
      <c r="D10" s="2" t="inlineStr">
        <is>
          <t>KOL</t>
        </is>
      </c>
      <c r="E10" s="8" t="n">
        <v>312.9313279504752</v>
      </c>
    </row>
    <row r="11">
      <c r="A11" s="2" t="n">
        <v>10</v>
      </c>
      <c r="B11" s="2" t="inlineStr">
        <is>
          <t>EeXvxkcGqMDZeTaVeawzxm9mbzZwqDUMmfG3bF7uzumH</t>
        </is>
      </c>
      <c r="C11" s="2" t="inlineStr">
        <is>
          <t>milito</t>
        </is>
      </c>
      <c r="D11" s="2" t="inlineStr">
        <is>
          <t>KOL</t>
        </is>
      </c>
      <c r="E11" s="8" t="n">
        <v>300.7335425713609</v>
      </c>
    </row>
    <row r="12">
      <c r="A12" s="2" t="n">
        <v>11</v>
      </c>
      <c r="B12" s="2" t="inlineStr">
        <is>
          <t>5vg7he5HibvsAW86wfiuP6jw7VwKmUAnP6P93mVCdpJu</t>
        </is>
      </c>
      <c r="C12" s="2" t="inlineStr">
        <is>
          <t>blixze ♱</t>
        </is>
      </c>
      <c r="D12" s="2" t="inlineStr">
        <is>
          <t>KOL</t>
        </is>
      </c>
      <c r="E12" s="8" t="n">
        <v>253.1485703826575</v>
      </c>
    </row>
    <row r="13">
      <c r="A13" s="2" t="n">
        <v>12</v>
      </c>
      <c r="B13" s="2" t="inlineStr">
        <is>
          <t>4S8YBCt6hhi7Nr1NnKF6jF856LLN8JJFzD1a8nF5UuHA</t>
        </is>
      </c>
      <c r="C13" s="2" t="inlineStr">
        <is>
          <t>shaka</t>
        </is>
      </c>
      <c r="D13" s="2" t="inlineStr">
        <is>
          <t>KOL</t>
        </is>
      </c>
      <c r="E13" s="8" t="n">
        <v>230.6495653644234</v>
      </c>
    </row>
    <row r="14">
      <c r="A14" s="2" t="n">
        <v>13</v>
      </c>
      <c r="B14" s="2" t="inlineStr">
        <is>
          <t>9iaawVBEsFG35PSwd4PahwT8fYNQe9XYuRdWm872dUqY</t>
        </is>
      </c>
      <c r="C14" s="2" t="inlineStr">
        <is>
          <t>Meechie</t>
        </is>
      </c>
      <c r="D14" s="2" t="inlineStr">
        <is>
          <t>KOL</t>
        </is>
      </c>
      <c r="E14" s="8" t="n">
        <v>203.0359335608114</v>
      </c>
    </row>
    <row r="15">
      <c r="A15" s="2" t="n">
        <v>14</v>
      </c>
      <c r="B15" s="2" t="inlineStr">
        <is>
          <t>9B3XkfDxCG3QBrVMEDMVNzJn5tJsGkERWMAypC98PkEH</t>
        </is>
      </c>
      <c r="E15" s="8" t="n">
        <v>184.6530378890327</v>
      </c>
    </row>
    <row r="16">
      <c r="A16" s="2" t="n">
        <v>15</v>
      </c>
      <c r="B16" s="2" t="inlineStr">
        <is>
          <t>gangJEP5geDHjPVRhDS5dTF5e6GtRvtNogMEEVs91RV</t>
        </is>
      </c>
      <c r="C16" s="2" t="inlineStr">
        <is>
          <t>Qavec</t>
        </is>
      </c>
      <c r="D16" s="2" t="inlineStr">
        <is>
          <t>KOL</t>
        </is>
      </c>
      <c r="E16" s="8" t="n">
        <v>137.3386567642306</v>
      </c>
    </row>
    <row r="17">
      <c r="A17" s="2" t="n">
        <v>16</v>
      </c>
      <c r="B17" s="2" t="inlineStr">
        <is>
          <t>6uCmBAxg9kgyiyzPs2XhYjebiadWwDxnmkMJ1djYBB1</t>
        </is>
      </c>
      <c r="E17" s="8" t="n">
        <v>115.6290970268938</v>
      </c>
    </row>
    <row r="18">
      <c r="A18" s="2" t="n">
        <v>17</v>
      </c>
      <c r="B18" s="2" t="inlineStr">
        <is>
          <t>8CCb5QnL2viBUDvb6piyuawe7h4WwP2RdAiN52au22Wh</t>
        </is>
      </c>
      <c r="E18" s="8" t="n">
        <v>113.755030478216</v>
      </c>
    </row>
    <row r="19">
      <c r="A19" s="2" t="n">
        <v>18</v>
      </c>
      <c r="B19" s="2" t="inlineStr">
        <is>
          <t>9aGU3qY1e1b2eYikui8n8FK2pLhwWmFV2j1RALFQcfCX</t>
        </is>
      </c>
      <c r="E19" s="8" t="n">
        <v>87.44444002099843</v>
      </c>
    </row>
    <row r="20">
      <c r="A20" s="2" t="n">
        <v>19</v>
      </c>
      <c r="B20" s="2" t="inlineStr">
        <is>
          <t>Bjka6ui7kf8coVg7aC6TQC6736TZvSdcyHBPQczF5RG9</t>
        </is>
      </c>
      <c r="E20" s="8" t="n">
        <v>85.97894334544348</v>
      </c>
    </row>
    <row r="21">
      <c r="A21" s="2" t="n">
        <v>20</v>
      </c>
      <c r="B21" s="2" t="inlineStr">
        <is>
          <t>87YAxAWhwp4hiTuJrMpRBL4tY9FFWpv4XXCR2PbdLgKa</t>
        </is>
      </c>
      <c r="E21" s="8" t="n">
        <v>70.93052589107731</v>
      </c>
    </row>
    <row r="22">
      <c r="A22" s="2" t="n">
        <v>21</v>
      </c>
      <c r="B22" s="2" t="inlineStr">
        <is>
          <t>EQaxqKT3N981QBmdSUGNzAGK5S26zUwAdRHhBCgn87zD</t>
        </is>
      </c>
      <c r="C22" s="2" t="inlineStr">
        <is>
          <t>jamessmith</t>
        </is>
      </c>
      <c r="D22" s="2" t="inlineStr">
        <is>
          <t>KOL</t>
        </is>
      </c>
      <c r="E22" s="8" t="n">
        <v>53.70730031992182</v>
      </c>
    </row>
    <row r="23">
      <c r="A23" s="2" t="n">
        <v>22</v>
      </c>
      <c r="B23" s="2" t="inlineStr">
        <is>
          <t>9WgWgxxqgvYjNHeHm3Nci2JmF35hTf7Ri3qX2gV2fivX</t>
        </is>
      </c>
      <c r="E23" s="8" t="n">
        <v>50.47495922385418</v>
      </c>
    </row>
    <row r="24">
      <c r="A24" s="2" t="n">
        <v>23</v>
      </c>
      <c r="B24" s="2" t="inlineStr">
        <is>
          <t>DW21bL8PyH1dNKtJBMLSZ227iyKT1kUzWHJV55hKNhf6</t>
        </is>
      </c>
      <c r="E24" s="8" t="n">
        <v>39.87288938622752</v>
      </c>
    </row>
    <row r="25">
      <c r="A25" s="2" t="n">
        <v>24</v>
      </c>
      <c r="B25" s="2" t="inlineStr">
        <is>
          <t>7Js5gmq57y9jG2sseKrAeJt3vbncSWSFFHDEsyJDnyVm</t>
        </is>
      </c>
      <c r="C25" s="2" t="inlineStr">
        <is>
          <t>Yami 𓃵</t>
        </is>
      </c>
      <c r="D25" s="2" t="inlineStr">
        <is>
          <t>KOL</t>
        </is>
      </c>
      <c r="E25" s="8" t="n">
        <v>35.64114915227013</v>
      </c>
    </row>
    <row r="26">
      <c r="A26" s="2" t="n">
        <v>25</v>
      </c>
      <c r="B26" s="2" t="inlineStr">
        <is>
          <t>DzgANUkdPBYCN2Z65aVMsMWPNNJT9c4KhBTXtBwzaPnH</t>
        </is>
      </c>
      <c r="E26" s="8" t="n">
        <v>29.71858832452806</v>
      </c>
    </row>
    <row r="27">
      <c r="A27" s="2" t="n">
        <v>26</v>
      </c>
      <c r="B27" s="2" t="inlineStr">
        <is>
          <t>Dw54DCQwJMNegyF2MJFrhevgeuNxkFZ4FNp1yGgycHN9</t>
        </is>
      </c>
      <c r="E27" s="8" t="n">
        <v>25.68694640282118</v>
      </c>
    </row>
    <row r="28">
      <c r="A28" s="2" t="n">
        <v>27</v>
      </c>
      <c r="B28" s="2" t="inlineStr">
        <is>
          <t>GXhR4ax3eUuKFgqo5z7nSusD4PCbZ6Q2dobuy6taM4wb</t>
        </is>
      </c>
      <c r="E28" s="8" t="n">
        <v>24.08980149932816</v>
      </c>
    </row>
    <row r="29">
      <c r="A29" s="2" t="n">
        <v>28</v>
      </c>
      <c r="B29" s="2" t="inlineStr">
        <is>
          <t>99i9uVA7Q56bY22ajKKUfTZTgTeP5yCtVGsrG9J4pDYQ</t>
        </is>
      </c>
      <c r="C29" s="2" t="inlineStr">
        <is>
          <t>Zrool 尔</t>
        </is>
      </c>
      <c r="D29" s="2" t="inlineStr">
        <is>
          <t>KOL</t>
        </is>
      </c>
      <c r="E29" s="8" t="n">
        <v>23.7978302175609</v>
      </c>
    </row>
    <row r="30">
      <c r="A30" s="2" t="n">
        <v>29</v>
      </c>
      <c r="B30" s="2" t="inlineStr">
        <is>
          <t>EB1pXGLBpyTEWGNZVgw1rcuhSYAk2dkwnRx9r1A6QWME</t>
        </is>
      </c>
      <c r="E30" s="8" t="n">
        <v>23.36355017800966</v>
      </c>
    </row>
    <row r="31">
      <c r="A31" s="2" t="n">
        <v>30</v>
      </c>
      <c r="B31" s="2" t="inlineStr">
        <is>
          <t>DZyGibU23LEkE2452Pr6YKdz1W6wA2jmhVfHSZNTEx4N</t>
        </is>
      </c>
      <c r="E31" s="8" t="n">
        <v>23.07478598844423</v>
      </c>
    </row>
    <row r="32">
      <c r="A32" s="2" t="n">
        <v>31</v>
      </c>
      <c r="B32" s="2" t="inlineStr">
        <is>
          <t>6p4MnFpQv8yf1xJhvQDnUDKbBKzyPnGx9KffmWvUYpt1</t>
        </is>
      </c>
      <c r="E32" s="8" t="n">
        <v>21.72565305692503</v>
      </c>
    </row>
    <row r="33">
      <c r="A33" s="2" t="n">
        <v>32</v>
      </c>
      <c r="B33" s="2" t="inlineStr">
        <is>
          <t>9WY8vHeTvkDvaxEsGg1jz1QbAduggADfX8wL6hykcPna</t>
        </is>
      </c>
      <c r="E33" s="8" t="n">
        <v>18.63272184485857</v>
      </c>
    </row>
    <row r="34">
      <c r="A34" s="2" t="n">
        <v>33</v>
      </c>
      <c r="B34" s="2" t="inlineStr">
        <is>
          <t>4e4rn7UpaRcjK3BFsZijz9schkQEB3boKKdW9824GHp6</t>
        </is>
      </c>
      <c r="E34" s="8" t="n">
        <v>13.95777632828865</v>
      </c>
    </row>
    <row r="35">
      <c r="A35" s="2" t="n">
        <v>34</v>
      </c>
      <c r="B35" s="2" t="inlineStr">
        <is>
          <t>G9wcxXBmqaDS1BTLULCdYkWYktqsXTicd5Qyk7DHiYTZ</t>
        </is>
      </c>
      <c r="E35" s="8" t="n">
        <v>12.68175594685751</v>
      </c>
    </row>
    <row r="36">
      <c r="A36" s="2" t="n">
        <v>35</v>
      </c>
      <c r="B36" s="2" t="inlineStr">
        <is>
          <t>3J4mqL4tY6SyTWu9gPs4KFaX54TZZJNNfzxxjFGDQzUN</t>
        </is>
      </c>
      <c r="E36" s="8" t="n">
        <v>12.39712676295787</v>
      </c>
    </row>
    <row r="37">
      <c r="A37" s="2" t="n">
        <v>36</v>
      </c>
      <c r="B37" s="2" t="inlineStr">
        <is>
          <t>D8pdbmmivyt3UY7tZcjfQPMsLfNZTYdYpu1MFd17jxiX</t>
        </is>
      </c>
      <c r="E37" s="8" t="n">
        <v>11.46663954591164</v>
      </c>
    </row>
    <row r="38">
      <c r="A38" s="2" t="n">
        <v>37</v>
      </c>
      <c r="B38" s="2" t="inlineStr">
        <is>
          <t>FKFyY4cmnShXswyh7QizNdEDznqegQMEdAZcvkUiZLSk</t>
        </is>
      </c>
      <c r="E38" s="8" t="n">
        <v>10.47400937420795</v>
      </c>
    </row>
    <row r="39">
      <c r="A39" s="2" t="n">
        <v>38</v>
      </c>
      <c r="B39" s="2" t="inlineStr">
        <is>
          <t>4vXxDXZ6cbnpG8gRFxw4UxrHa5W5nW1xE1zmWfU9b9PK</t>
        </is>
      </c>
      <c r="E39" s="8" t="n">
        <v>9.463115016199101</v>
      </c>
    </row>
    <row r="40">
      <c r="A40" s="2" t="n">
        <v>39</v>
      </c>
      <c r="B40" s="2" t="inlineStr">
        <is>
          <t>5GW4Gk5JbkHxiyrXeuBejCeVnK7GSTyMcQ5Wf3jD1Qnt</t>
        </is>
      </c>
      <c r="E40" s="8" t="n">
        <v>8.237867183940548</v>
      </c>
    </row>
    <row r="41">
      <c r="A41" s="2" t="n">
        <v>40</v>
      </c>
      <c r="B41" s="2" t="inlineStr">
        <is>
          <t>Dpdypk8iiysF2CoXjLZULgWjdVU7cG3w8tnYUyRFP7W4</t>
        </is>
      </c>
      <c r="E41" s="8" t="n">
        <v>8.204415266403817</v>
      </c>
    </row>
    <row r="42">
      <c r="A42" s="2" t="n">
        <v>41</v>
      </c>
      <c r="B42" s="2" t="inlineStr">
        <is>
          <t>HLyw5A1WFAsutwA7EPwFg1URdTKrM2wFtJ8uudsPdfgy</t>
        </is>
      </c>
      <c r="E42" s="8" t="n">
        <v>7.383474619935876</v>
      </c>
    </row>
    <row r="43">
      <c r="A43" s="2" t="n">
        <v>42</v>
      </c>
      <c r="B43" s="2" t="inlineStr">
        <is>
          <t>8yuP1LSauPp7KrsurqmNm1vHSxEGbFh4p5mEy56DzXoG</t>
        </is>
      </c>
      <c r="E43" s="8" t="n">
        <v>7.263566569046833</v>
      </c>
    </row>
    <row r="44">
      <c r="A44" s="2" t="n">
        <v>43</v>
      </c>
      <c r="B44" s="2" t="inlineStr">
        <is>
          <t>APkGv3PxJWbTNc7x5mPGUhNdnq95HH4p2qzxBMj3fjYY</t>
        </is>
      </c>
      <c r="E44" s="8" t="n">
        <v>7.256052529588244</v>
      </c>
    </row>
    <row r="45">
      <c r="A45" s="2" t="n">
        <v>44</v>
      </c>
      <c r="B45" s="2" t="inlineStr">
        <is>
          <t>957fd1n18MARXvx8f7cFLFWiahjoYmnYeMG7ARjrPLvn</t>
        </is>
      </c>
      <c r="E45" s="8" t="n">
        <v>7.07102879496752</v>
      </c>
    </row>
    <row r="46">
      <c r="A46" s="2" t="n">
        <v>45</v>
      </c>
      <c r="B46" s="2" t="inlineStr">
        <is>
          <t>5ygLtFWs5Ry6tQ1CeUXACkaLzBhawKNSS3S4qDtCfe9d</t>
        </is>
      </c>
      <c r="E46" s="8" t="n">
        <v>6.706628574157073</v>
      </c>
    </row>
    <row r="47">
      <c r="A47" s="2" t="n">
        <v>46</v>
      </c>
      <c r="B47" s="2" t="inlineStr">
        <is>
          <t>42BvoA2Won2GHqqbMvZmZKxY3khBryGoGnTdcUjo2nWR</t>
        </is>
      </c>
      <c r="E47" s="8" t="n">
        <v>6.16639332254667</v>
      </c>
    </row>
    <row r="48">
      <c r="A48" s="2" t="n">
        <v>47</v>
      </c>
      <c r="B48" s="2" t="inlineStr">
        <is>
          <t>HbxevZ49jfAAWgt4xJhNrBmVBkvw3QUnx1B6JF1nYxg6</t>
        </is>
      </c>
      <c r="E48" s="8" t="n">
        <v>6.08123967729377</v>
      </c>
    </row>
    <row r="49">
      <c r="A49" s="2" t="n">
        <v>48</v>
      </c>
      <c r="B49" s="2" t="inlineStr">
        <is>
          <t>HNCVXo5g35GvSeZRZ3g7wxYLLp6KcinSzVbkaTAiaoz8</t>
        </is>
      </c>
      <c r="E49" s="8" t="n">
        <v>4.890026248737559</v>
      </c>
    </row>
    <row r="50">
      <c r="A50" s="2" t="n">
        <v>49</v>
      </c>
      <c r="B50" s="2" t="inlineStr">
        <is>
          <t>BnVA2HxUwLQ1PQXBe3LuVQBpdoVBsdbHF2Co6X46M9ZK</t>
        </is>
      </c>
      <c r="E50" s="8" t="n">
        <v>4.348617330068471</v>
      </c>
    </row>
    <row r="51">
      <c r="A51" s="2" t="n">
        <v>50</v>
      </c>
      <c r="B51" s="2" t="inlineStr">
        <is>
          <t>HQviNcCX4dY64tmmFCb1yUN24XZ8NHwkCvABpSu4chKU</t>
        </is>
      </c>
      <c r="E51" s="8" t="n">
        <v>4.265817296060533</v>
      </c>
    </row>
    <row r="52">
      <c r="A52" s="2" t="n">
        <v>51</v>
      </c>
      <c r="B52" s="2" t="inlineStr">
        <is>
          <t>HpCNcEemNRzWcegkAi2WMnhV9UpMHhHfFExaHrqyZ4ah</t>
        </is>
      </c>
      <c r="E52" s="8" t="n">
        <v>4.070803440879225</v>
      </c>
    </row>
    <row r="53">
      <c r="A53" s="2" t="n">
        <v>52</v>
      </c>
      <c r="B53" s="2" t="inlineStr">
        <is>
          <t>HuTshmtwcQkWBLzgW3m4uwcmik7Lmz4YFpYcTqMJpXiP</t>
        </is>
      </c>
      <c r="E53" s="8" t="n">
        <v>4.042726837983298</v>
      </c>
    </row>
    <row r="54">
      <c r="A54" s="2" t="n">
        <v>53</v>
      </c>
      <c r="B54" s="2" t="inlineStr">
        <is>
          <t>FbCxz7spAvk3mS1SG3odPNmdVHCKLZABYHW52YwPd9Z5</t>
        </is>
      </c>
      <c r="E54" s="8" t="n">
        <v>3.876070359714853</v>
      </c>
    </row>
    <row r="55">
      <c r="A55" s="2" t="n">
        <v>54</v>
      </c>
      <c r="B55" s="2" t="inlineStr">
        <is>
          <t>AsNMGbNmmH3T596aHhWtrbmFJKp3wUXuyiDUaDCCmyyT</t>
        </is>
      </c>
      <c r="E55" s="8" t="n">
        <v>3.808880744599497</v>
      </c>
    </row>
    <row r="56">
      <c r="A56" s="2" t="n">
        <v>55</v>
      </c>
      <c r="B56" s="2" t="inlineStr">
        <is>
          <t>6zeuJP4cXA2V5SpXvJDNvHtymeWcQ66q64SVCoAhEKc6</t>
        </is>
      </c>
      <c r="E56" s="8" t="n">
        <v>3.705457343061321</v>
      </c>
    </row>
    <row r="57">
      <c r="A57" s="2" t="n">
        <v>56</v>
      </c>
      <c r="B57" s="2" t="inlineStr">
        <is>
          <t>GVAzZqrZXr3qXa58s249sZkHahTmrHfdCDqJJx3b14pZ</t>
        </is>
      </c>
      <c r="E57" s="8" t="n">
        <v>3.144831946212591</v>
      </c>
    </row>
    <row r="58">
      <c r="A58" s="2" t="n">
        <v>57</v>
      </c>
      <c r="B58" s="2" t="inlineStr">
        <is>
          <t>GEW8AZyQREDiRcDfw4wN8agTDHQT3Bz3U5N6D9gGUbeh</t>
        </is>
      </c>
      <c r="E58" s="8" t="n">
        <v>2.75443580055001</v>
      </c>
    </row>
    <row r="59">
      <c r="A59" s="2" t="n">
        <v>58</v>
      </c>
      <c r="B59" s="2" t="inlineStr">
        <is>
          <t>BnWtHR4EkhCQ8U1ZyL5Dt5kX6y3w9GiU5Lc7onk4E8Yi</t>
        </is>
      </c>
      <c r="E59" s="8" t="n">
        <v>2.547272379974123</v>
      </c>
    </row>
    <row r="60">
      <c r="A60" s="2" t="n">
        <v>59</v>
      </c>
      <c r="B60" s="2" t="inlineStr">
        <is>
          <t>GCouiHrsjbAmsrdSWenYxMQYWEHWHmQrV6aLsy7ZUGRw</t>
        </is>
      </c>
      <c r="E60" s="8" t="n">
        <v>2.488320666032189</v>
      </c>
    </row>
    <row r="61">
      <c r="A61" s="2" t="n">
        <v>60</v>
      </c>
      <c r="B61" s="2" t="inlineStr">
        <is>
          <t>BVpr3EjQcWjzYnRJpgSBsFKjGh6DVUwbXmBu3ExkMUX7</t>
        </is>
      </c>
      <c r="E61" s="8" t="n">
        <v>2.109577976766649</v>
      </c>
    </row>
    <row r="62">
      <c r="A62" s="2" t="n">
        <v>61</v>
      </c>
      <c r="B62" s="2" t="inlineStr">
        <is>
          <t>9y9cDVSSXJQRsqCDEuaUfBE1iyysgpn5Gqwc9nL8zbu6</t>
        </is>
      </c>
      <c r="E62" s="8" t="n">
        <v>1.945388044923846</v>
      </c>
    </row>
    <row r="63">
      <c r="A63" s="2" t="n">
        <v>62</v>
      </c>
      <c r="B63" s="2" t="inlineStr">
        <is>
          <t>9yxJXHDYDxkHUddehjSUmPSots53MYinhBtE1TMMFscG</t>
        </is>
      </c>
      <c r="E63" s="8" t="n">
        <v>1.700580977630457</v>
      </c>
    </row>
    <row r="64">
      <c r="A64" s="2" t="n">
        <v>63</v>
      </c>
      <c r="B64" s="2" t="inlineStr">
        <is>
          <t>4M1LZk6HtFEjbTq1No9GRuGJozerbSiaVVVF1GFdUZCb</t>
        </is>
      </c>
      <c r="E64" s="8" t="n">
        <v>1.582946542245385</v>
      </c>
    </row>
    <row r="65">
      <c r="A65" s="2" t="n">
        <v>64</v>
      </c>
      <c r="B65" s="2" t="inlineStr">
        <is>
          <t>8o6KxfkjCQsedrdhQWnAsY27DpoiiTvQPVDs8r5qdi1W</t>
        </is>
      </c>
      <c r="E65" s="8" t="n">
        <v>1.532048442002926</v>
      </c>
    </row>
    <row r="66">
      <c r="A66" s="2" t="n">
        <v>65</v>
      </c>
      <c r="B66" s="2" t="inlineStr">
        <is>
          <t>AWtagyv5hNsxvp6K5L2Den7WfgVseiWF9QbWkK6ijVuc</t>
        </is>
      </c>
      <c r="E66" s="8" t="n">
        <v>1.437165526072612</v>
      </c>
    </row>
    <row r="67">
      <c r="A67" s="2" t="n">
        <v>66</v>
      </c>
      <c r="B67" s="2" t="inlineStr">
        <is>
          <t>8Zwo1ztiyeakGfhe7k1fWMjdXRt44UCuREk2YtCPhRXn</t>
        </is>
      </c>
      <c r="E67" s="8" t="n">
        <v>1.436190882746576</v>
      </c>
    </row>
    <row r="68">
      <c r="A68" s="2" t="n">
        <v>67</v>
      </c>
      <c r="B68" s="2" t="inlineStr">
        <is>
          <t>FQ9SYnpWB2dTvpRJzn1oao5F6Y4YtnRcDUXhP3vpFbov</t>
        </is>
      </c>
      <c r="E68" s="8" t="n">
        <v>1.305719037969159</v>
      </c>
    </row>
    <row r="69">
      <c r="A69" s="2" t="n">
        <v>68</v>
      </c>
      <c r="B69" s="2" t="inlineStr">
        <is>
          <t>6FcwDyQ9ypmGQwVa6UHgm5v7AbQ7XdP6EiKAs787heop</t>
        </is>
      </c>
      <c r="E69" s="8" t="n">
        <v>1.272475466483272</v>
      </c>
    </row>
    <row r="70">
      <c r="A70" s="2" t="n">
        <v>69</v>
      </c>
      <c r="B70" s="2" t="inlineStr">
        <is>
          <t>FuC9mJxguS6Fn4LvHKVjpKpr618gKcKuTu2YwgdAgUM5</t>
        </is>
      </c>
      <c r="E70" s="8" t="n">
        <v>1.216574169234186</v>
      </c>
    </row>
    <row r="71">
      <c r="A71" s="2" t="n">
        <v>70</v>
      </c>
      <c r="B71" s="2" t="inlineStr">
        <is>
          <t>2qp8zeBcFa2qvicha9Mri23kYte2pxx7gQ6YVfgSP4Le</t>
        </is>
      </c>
      <c r="E71" s="8" t="n">
        <v>1.160055917279985</v>
      </c>
    </row>
    <row r="72">
      <c r="A72" s="2" t="n">
        <v>71</v>
      </c>
      <c r="B72" s="2" t="inlineStr">
        <is>
          <t>CXwLBK15woYrt8Ad1XNNLoctcSL8GxyitHd2FuE98dC3</t>
        </is>
      </c>
      <c r="E72" s="8" t="n">
        <v>1.157723982541834</v>
      </c>
    </row>
    <row r="73">
      <c r="A73" s="2" t="n">
        <v>72</v>
      </c>
      <c r="B73" s="2" t="inlineStr">
        <is>
          <t>4nRvuqUkM4QkV8E85wCFqauj5r2nMHwTvZPBKsWDArBy</t>
        </is>
      </c>
      <c r="E73" s="8" t="n">
        <v>1.129270573043962</v>
      </c>
    </row>
    <row r="74">
      <c r="A74" s="2" t="n">
        <v>73</v>
      </c>
      <c r="B74" s="2" t="inlineStr">
        <is>
          <t>8wpb2kRykkxVHM4xZ9U3CKWobSfePrzWsJYi6h5AufYA</t>
        </is>
      </c>
      <c r="E74" s="8" t="n">
        <v>1.012895073626449</v>
      </c>
    </row>
    <row r="75">
      <c r="A75" s="2" t="n">
        <v>74</v>
      </c>
      <c r="B75" s="2" t="inlineStr">
        <is>
          <t>5E3GccPofDNrNoUsgAmTxnSKokwwYeTWDNCpXSL7EYuN</t>
        </is>
      </c>
      <c r="E75" s="8" t="n">
        <v>0.9287269996260682</v>
      </c>
    </row>
    <row r="76">
      <c r="A76" s="2" t="n">
        <v>75</v>
      </c>
      <c r="B76" s="2" t="inlineStr">
        <is>
          <t>8SdeWmnntk7XR8M6dPnEii22X4bz9AXdJpbnuMre8AzT</t>
        </is>
      </c>
      <c r="E76" s="8" t="n">
        <v>0.9176809398647685</v>
      </c>
    </row>
    <row r="77">
      <c r="A77" s="2" t="n">
        <v>76</v>
      </c>
      <c r="B77" s="2" t="inlineStr">
        <is>
          <t>CTr5mBHp9E9qde5EWnPY7uaRLm6fMgETmwt7hnyRLhvq</t>
        </is>
      </c>
      <c r="E77" s="8" t="n">
        <v>0.8498496812420104</v>
      </c>
    </row>
    <row r="78">
      <c r="A78" s="2" t="n">
        <v>77</v>
      </c>
      <c r="B78" s="2" t="inlineStr">
        <is>
          <t>BkbE6c6NzbKRFuXpX1nRqSjB2CNZU5tzQcWFwf3oZzhk</t>
        </is>
      </c>
      <c r="E78" s="8" t="n">
        <v>0.7864748629665408</v>
      </c>
    </row>
    <row r="79">
      <c r="A79" s="2" t="n">
        <v>78</v>
      </c>
      <c r="B79" s="2" t="inlineStr">
        <is>
          <t>BxEF9W4zSGjYFmh7XkVbP8BA1RD2FEwkx1LRsLqXS4fm</t>
        </is>
      </c>
      <c r="E79" s="8" t="n">
        <v>0.6506671631185645</v>
      </c>
    </row>
    <row r="80">
      <c r="A80" s="2" t="n">
        <v>79</v>
      </c>
      <c r="B80" s="2" t="inlineStr">
        <is>
          <t>8EVm5rpNU41ozQaQrE51jnT1ESHJpYCgjf3YgxipXueC</t>
        </is>
      </c>
      <c r="E80" s="8" t="n">
        <v>0.6246689665408237</v>
      </c>
    </row>
    <row r="81">
      <c r="A81" s="2" t="n">
        <v>80</v>
      </c>
      <c r="B81" s="2" t="inlineStr">
        <is>
          <t>J7ZL5jvSU2owsBaSGSmGPLR28ZxeEAP4sxUhe7sWy38Q</t>
        </is>
      </c>
      <c r="E81" s="8" t="n">
        <v>0.6059285647497372</v>
      </c>
    </row>
    <row r="82">
      <c r="A82" s="2" t="n">
        <v>81</v>
      </c>
      <c r="B82" s="2" t="inlineStr">
        <is>
          <t>2SU3tHoSsjEMq17HRDxqGi2nMNYmTzLKTNJTjBTzFRBz</t>
        </is>
      </c>
      <c r="E82" s="8" t="n">
        <v>0.573750146013839</v>
      </c>
    </row>
    <row r="83">
      <c r="A83" s="2" t="n">
        <v>82</v>
      </c>
      <c r="B83" s="2" t="inlineStr">
        <is>
          <t>9LGjXs2u3c9sVtaJDm22EzyhyzQoPjvaFJHs4LJWg9EB</t>
        </is>
      </c>
      <c r="E83" s="8" t="n">
        <v>0.5204318617056938</v>
      </c>
    </row>
    <row r="84">
      <c r="A84" s="2" t="n">
        <v>83</v>
      </c>
      <c r="B84" s="2" t="inlineStr">
        <is>
          <t>CVvvk68Xzfq69JgbVtf2XurtHb6ssnRTiorL34q5FDKC</t>
        </is>
      </c>
      <c r="E84" s="8" t="n">
        <v>0.4640054000109605</v>
      </c>
    </row>
    <row r="85">
      <c r="A85" s="2" t="n">
        <v>84</v>
      </c>
      <c r="B85" s="2" t="inlineStr">
        <is>
          <t>3uZHd6GWwR4c5aTJnFs69Nfjcf9BGsZDz3yBJKJgKQKq</t>
        </is>
      </c>
      <c r="E85" s="8" t="n">
        <v>0.4382688837317301</v>
      </c>
    </row>
    <row r="86">
      <c r="A86" s="2" t="n">
        <v>85</v>
      </c>
      <c r="B86" s="2" t="inlineStr">
        <is>
          <t>HJ99HNYE7V9EEiEZ92gnE8NyQPJGJDdeuqBuQrPpMR6m</t>
        </is>
      </c>
      <c r="E86" s="8" t="n">
        <v>0.3785429962103319</v>
      </c>
    </row>
    <row r="87">
      <c r="A87" s="2" t="n">
        <v>86</v>
      </c>
      <c r="B87" s="2" t="inlineStr">
        <is>
          <t>4x9xL4Fp8BJwGVJKyTqCZGhSbdF17tdyfhcr6vpBPzbE</t>
        </is>
      </c>
      <c r="E87" s="8" t="n">
        <v>0.3426949376046338</v>
      </c>
    </row>
    <row r="88">
      <c r="A88" s="2" t="n">
        <v>87</v>
      </c>
      <c r="B88" s="2" t="inlineStr">
        <is>
          <t>9WhBG1F7d6AcgZU8chCvggmyY5Una1aNjFcbPrSdTRZR</t>
        </is>
      </c>
      <c r="E88" s="8" t="n">
        <v>0.2152941970645788</v>
      </c>
    </row>
    <row r="89">
      <c r="A89" s="2" t="n">
        <v>88</v>
      </c>
      <c r="B89" s="2" t="inlineStr">
        <is>
          <t>8KWadyuJdwiRkC2Td3NJUAGFqHHpoh5HvAbw2DX93tjR</t>
        </is>
      </c>
      <c r="E89" s="8" t="n">
        <v>0.2147304781615073</v>
      </c>
    </row>
    <row r="90">
      <c r="A90" s="2" t="n">
        <v>89</v>
      </c>
      <c r="B90" s="2" t="inlineStr">
        <is>
          <t>2tAA8rRrtSD6wUTjk334xx7QQ1G22ShLrsBtAUwAAeyp</t>
        </is>
      </c>
      <c r="E90" s="8" t="n">
        <v>0.1892235961839916</v>
      </c>
    </row>
    <row r="91">
      <c r="A91" s="2" t="n">
        <v>90</v>
      </c>
      <c r="B91" s="2" t="inlineStr">
        <is>
          <t>5sfXhPPavP7SqVJ5SmbCWuG5ZRZnKz5BufruvmhZPBgY</t>
        </is>
      </c>
      <c r="E91" s="8" t="n">
        <v>0.187014406802565</v>
      </c>
    </row>
    <row r="92">
      <c r="A92" s="2" t="n">
        <v>91</v>
      </c>
      <c r="B92" s="2" t="inlineStr">
        <is>
          <t>D75hkiRh9Rwo3yk9anYN79P7J9t6G4Deoznou8EB5Xbo</t>
        </is>
      </c>
      <c r="E92" s="8" t="n">
        <v>0.1517463253201585</v>
      </c>
    </row>
    <row r="93">
      <c r="A93" s="2" t="n">
        <v>92</v>
      </c>
      <c r="B93" s="2" t="inlineStr">
        <is>
          <t>7Sda4tb4GmhxL4x7pjqxLxM7XSF7pYXJqmR7zENb9Kq7</t>
        </is>
      </c>
      <c r="E93" s="8" t="n">
        <v>0.1287690238239192</v>
      </c>
    </row>
    <row r="94">
      <c r="A94" s="2" t="n">
        <v>93</v>
      </c>
      <c r="B94" s="2" t="inlineStr">
        <is>
          <t>6eV2MZJJP2mkWQBdNPrNWVcRGEKGPUnMSMFwFThVq9oA</t>
        </is>
      </c>
      <c r="E94" s="8" t="n">
        <v>0.1285594154421766</v>
      </c>
    </row>
    <row r="95">
      <c r="A95" s="2" t="n">
        <v>94</v>
      </c>
      <c r="B95" s="2" t="inlineStr">
        <is>
          <t>J59NiwmcoiKnhsbtvfiS1PRV21UhJjciPKpA4HhFzkmU</t>
        </is>
      </c>
      <c r="E95" s="8" t="n">
        <v>0.1110720924509198</v>
      </c>
    </row>
    <row r="96">
      <c r="A96" s="2" t="n">
        <v>95</v>
      </c>
      <c r="B96" s="2" t="inlineStr">
        <is>
          <t>bSPszvyPuyufooVgaetYFByPMdV4ZkXimE9zgssvA5L</t>
        </is>
      </c>
      <c r="E96" s="8" t="n">
        <v>0.1081979856034778</v>
      </c>
    </row>
    <row r="97">
      <c r="A97" s="2" t="n">
        <v>96</v>
      </c>
      <c r="B97" s="2" t="inlineStr">
        <is>
          <t>GWVvc42ii2TSaD7a3t9qYbK7JAgNVewYTtbg8oz8V3ak</t>
        </is>
      </c>
      <c r="E97" s="8" t="n">
        <v>0.06381947358882163</v>
      </c>
    </row>
    <row r="98">
      <c r="A98" s="2" t="n">
        <v>97</v>
      </c>
      <c r="B98" s="2" t="inlineStr">
        <is>
          <t>5PrjBpeCun769BHVBRSpbiiFD1eKWtpGnGTnSWR6uoyj</t>
        </is>
      </c>
      <c r="E98" s="8" t="n">
        <v>0.06090327864724316</v>
      </c>
    </row>
    <row r="99">
      <c r="A99" s="2" t="n">
        <v>98</v>
      </c>
      <c r="B99" s="2" t="inlineStr">
        <is>
          <t>9XDeYt4F7gyDRGnAkqMoiepnHbkPMXqSSdmWE59WckLt</t>
        </is>
      </c>
      <c r="E99" s="8" t="n">
        <v>0.04311472114773527</v>
      </c>
    </row>
    <row r="100">
      <c r="A100" s="2" t="n">
        <v>99</v>
      </c>
      <c r="B100" s="2" t="inlineStr">
        <is>
          <t>3f7NgZGHykyitPyNozwueA3gNKGt56dciDxMbLHWkc7p</t>
        </is>
      </c>
      <c r="E100" s="8" t="n">
        <v>0.02392942607872431</v>
      </c>
    </row>
    <row r="101">
      <c r="A101" s="2" t="n">
        <v>100</v>
      </c>
      <c r="B101" s="2" t="inlineStr">
        <is>
          <t>CwoRXhrvoKtcuMAk133ZVygmuY3EDH86ZDixXsQzCQEA</t>
        </is>
      </c>
      <c r="E101" s="8" t="n">
        <v>0.007831540672673453</v>
      </c>
    </row>
  </sheetData>
  <autoFilter ref="A1:E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42" customWidth="1" min="3" max="3"/>
    <col width="18" customWidth="1" min="4" max="4"/>
    <col width="18" customWidth="1" min="5" max="5"/>
    <col width="20" customWidth="1" min="6" max="6"/>
    <col width="15" customWidth="1" min="7" max="7"/>
    <col width="9" customWidth="1" min="8" max="8"/>
    <col width="14" customWidth="1" min="9" max="9"/>
    <col width="14" customWidth="1" min="10" max="10"/>
    <col width="8" customWidth="1" min="11" max="11"/>
    <col width="8" customWidth="1" min="12" max="12"/>
    <col width="22" customWidth="1" min="13" max="13"/>
    <col width="22" customWidth="1" min="14" max="14"/>
    <col width="16" customWidth="1" min="15" max="15"/>
    <col width="20" customWidth="1" min="16" max="16"/>
    <col width="11" customWidth="1" min="17" max="17"/>
    <col width="34" customWidth="1" min="18" max="18"/>
    <col width="24" customWidth="1" min="19" max="19"/>
    <col width="22" customWidth="1" min="20" max="20"/>
  </cols>
  <sheetData>
    <row r="1">
      <c r="A1" s="6" t="inlineStr">
        <is>
          <t>rank</t>
        </is>
      </c>
      <c r="B1" s="6" t="inlineStr">
        <is>
          <t>wallet</t>
        </is>
      </c>
      <c r="C1" s="6" t="inlineStr">
        <is>
          <t>labels</t>
        </is>
      </c>
      <c r="D1" s="6" t="inlineStr">
        <is>
          <t>identity_name</t>
        </is>
      </c>
      <c r="E1" s="6" t="inlineStr">
        <is>
          <t>realized_pnl_usd</t>
        </is>
      </c>
      <c r="F1" s="6" t="inlineStr">
        <is>
          <t>unrealized_pnl_usd</t>
        </is>
      </c>
      <c r="G1" s="6" t="inlineStr">
        <is>
          <t>total_pnl_usd</t>
        </is>
      </c>
      <c r="H1" s="6" t="inlineStr">
        <is>
          <t>roi</t>
        </is>
      </c>
      <c r="I1" s="6" t="inlineStr">
        <is>
          <t>invested_usd</t>
        </is>
      </c>
      <c r="J1" s="6" t="inlineStr">
        <is>
          <t>proceeds_usd</t>
        </is>
      </c>
      <c r="K1" s="6" t="inlineStr">
        <is>
          <t>buys</t>
        </is>
      </c>
      <c r="L1" s="6" t="inlineStr">
        <is>
          <t>sells</t>
        </is>
      </c>
      <c r="M1" s="6" t="inlineStr">
        <is>
          <t>first_trade_utc</t>
        </is>
      </c>
      <c r="N1" s="6" t="inlineStr">
        <is>
          <t>last_trade_utc</t>
        </is>
      </c>
      <c r="O1" s="6" t="inlineStr">
        <is>
          <t>hold_time_secs</t>
        </is>
      </c>
      <c r="P1" s="6" t="inlineStr">
        <is>
          <t>balance</t>
        </is>
      </c>
      <c r="Q1" s="6" t="inlineStr">
        <is>
          <t>value_usd</t>
        </is>
      </c>
      <c r="R1" s="6" t="inlineStr">
        <is>
          <t>wallet_lifetime_realized_pnl_usd</t>
        </is>
      </c>
      <c r="S1" s="6" t="inlineStr">
        <is>
          <t>wallet_lifetime_trades</t>
        </is>
      </c>
      <c r="T1" s="6" t="inlineStr">
        <is>
          <t>wallet_tokens_traded</t>
        </is>
      </c>
    </row>
    <row r="2">
      <c r="A2" s="2" t="n">
        <v>1</v>
      </c>
      <c r="B2" s="2" t="inlineStr">
        <is>
          <t>9LxMdvs1m8QRFvFuhvzzMXykAkpaHTJhktULdpBztUMm</t>
        </is>
      </c>
      <c r="C2" s="2" t="inlineStr">
        <is>
          <t>axiom;bloom</t>
        </is>
      </c>
      <c r="E2" s="8" t="n">
        <v>5860.66</v>
      </c>
      <c r="F2" s="8" t="n">
        <v>0</v>
      </c>
      <c r="G2" s="8" t="n">
        <v>5860.66</v>
      </c>
      <c r="H2" s="2" t="n">
        <v>1925.12</v>
      </c>
      <c r="I2" s="8" t="n">
        <v>304.43</v>
      </c>
      <c r="J2" s="8" t="n">
        <v>6165.09</v>
      </c>
      <c r="K2" s="2" t="n">
        <v>1</v>
      </c>
      <c r="L2" s="2" t="n">
        <v>25</v>
      </c>
      <c r="M2" s="2" t="inlineStr">
        <is>
          <t>2026-10-15T05:00:50Z</t>
        </is>
      </c>
      <c r="N2" s="2" t="inlineStr">
        <is>
          <t>2026-10-15T05:34:59Z</t>
        </is>
      </c>
      <c r="O2" s="2" t="n">
        <v>2049</v>
      </c>
      <c r="P2" s="2" t="n">
        <v>0</v>
      </c>
      <c r="Q2" s="8" t="n">
        <v>0</v>
      </c>
      <c r="R2" s="8" t="n">
        <v>532689.12</v>
      </c>
      <c r="S2" s="2" t="n">
        <v>62159</v>
      </c>
      <c r="T2" s="2" t="n">
        <v>6698</v>
      </c>
    </row>
    <row r="3">
      <c r="A3" s="2" t="n">
        <v>2</v>
      </c>
      <c r="B3" s="2" t="inlineStr">
        <is>
          <t>FASTESTv3ZKg9hbwQHf64pBfRxaD3NyP3exgCFhKeyX5</t>
        </is>
      </c>
      <c r="C3" s="2" t="inlineStr">
        <is>
          <t>axiom</t>
        </is>
      </c>
      <c r="E3" s="8" t="n">
        <v>3554.51</v>
      </c>
      <c r="F3" s="8" t="n">
        <v>0</v>
      </c>
      <c r="G3" s="8" t="n">
        <v>3554.51</v>
      </c>
      <c r="H3" s="2" t="n">
        <v>0</v>
      </c>
      <c r="I3" s="8" t="n">
        <v>0</v>
      </c>
      <c r="J3" s="8" t="n">
        <v>3554.51</v>
      </c>
      <c r="K3" s="2" t="n">
        <v>0</v>
      </c>
      <c r="L3" s="2" t="n">
        <v>7</v>
      </c>
      <c r="M3" s="2" t="inlineStr">
        <is>
          <t>2026-10-15T05:41:23Z</t>
        </is>
      </c>
      <c r="N3" s="2" t="inlineStr">
        <is>
          <t>2026-10-15T05:42:46Z</t>
        </is>
      </c>
      <c r="P3" s="2" t="n">
        <v>0</v>
      </c>
      <c r="Q3" s="8" t="n">
        <v>0</v>
      </c>
      <c r="R3" s="8" t="n">
        <v>56045.82</v>
      </c>
      <c r="S3" s="2" t="n">
        <v>8159</v>
      </c>
      <c r="T3" s="2" t="n">
        <v>1475</v>
      </c>
    </row>
    <row r="4">
      <c r="A4" s="2" t="n">
        <v>3</v>
      </c>
      <c r="B4" s="2" t="inlineStr">
        <is>
          <t>AH75Bn6QHSt5K2Ad4p1otns3JTwpSJWZTwiwKWNhmnKx</t>
        </is>
      </c>
      <c r="C4" s="2" t="inlineStr">
        <is>
          <t>fomo</t>
        </is>
      </c>
      <c r="D4" s="2" t="inlineStr">
        <is>
          <t>bystevenr</t>
        </is>
      </c>
      <c r="E4" s="8" t="n">
        <v>3183.42</v>
      </c>
      <c r="F4" s="8" t="n">
        <v>0</v>
      </c>
      <c r="G4" s="8" t="n">
        <v>3183.42</v>
      </c>
      <c r="H4" s="2" t="n">
        <v>127.67</v>
      </c>
      <c r="I4" s="8" t="n">
        <v>2493.41</v>
      </c>
      <c r="J4" s="8" t="n">
        <v>5676.83</v>
      </c>
      <c r="K4" s="2" t="n">
        <v>4</v>
      </c>
      <c r="L4" s="2" t="n">
        <v>1</v>
      </c>
      <c r="M4" s="2" t="inlineStr">
        <is>
          <t>2026-10-15T05:11:53Z</t>
        </is>
      </c>
      <c r="N4" s="2" t="inlineStr">
        <is>
          <t>2026-10-15T05:34:56Z</t>
        </is>
      </c>
      <c r="O4" s="2" t="n">
        <v>1383</v>
      </c>
      <c r="P4" s="2" t="n">
        <v>0</v>
      </c>
      <c r="Q4" s="8" t="n">
        <v>0</v>
      </c>
      <c r="R4" s="8" t="n">
        <v>121907.1</v>
      </c>
      <c r="S4" s="2" t="n">
        <v>2586</v>
      </c>
      <c r="T4" s="2" t="n">
        <v>450</v>
      </c>
    </row>
    <row r="5">
      <c r="A5" s="2" t="n">
        <v>4</v>
      </c>
      <c r="B5" s="2" t="inlineStr">
        <is>
          <t>8rvAsDKeAcEjEkiZMug9k8v1y8mW6gQQiMobd89Uy7qR</t>
        </is>
      </c>
      <c r="C5" s="2" t="inlineStr">
        <is>
          <t>kol;terminal;axiom;pumpfun-app;bloom;sns</t>
        </is>
      </c>
      <c r="D5" s="2" t="inlineStr">
        <is>
          <t>Casino</t>
        </is>
      </c>
      <c r="E5" s="8" t="n">
        <v>2687.3</v>
      </c>
      <c r="F5" s="8" t="n">
        <v>0</v>
      </c>
      <c r="G5" s="8" t="n">
        <v>2687.3</v>
      </c>
      <c r="H5" s="2" t="n">
        <v>229.78</v>
      </c>
      <c r="I5" s="8" t="n">
        <v>1169.5</v>
      </c>
      <c r="J5" s="8" t="n">
        <v>3856.8</v>
      </c>
      <c r="K5" s="2" t="n">
        <v>5</v>
      </c>
      <c r="L5" s="2" t="n">
        <v>5</v>
      </c>
      <c r="M5" s="2" t="inlineStr">
        <is>
          <t>2026-10-15T05:05:15Z</t>
        </is>
      </c>
      <c r="N5" s="2" t="inlineStr">
        <is>
          <t>2026-10-15T05:17:12Z</t>
        </is>
      </c>
      <c r="O5" s="2" t="n">
        <v>716</v>
      </c>
      <c r="P5" s="2" t="n">
        <v>0</v>
      </c>
      <c r="Q5" s="8" t="n">
        <v>0</v>
      </c>
      <c r="R5" s="8" t="n">
        <v>4109748.65</v>
      </c>
      <c r="S5" s="2" t="n">
        <v>188697</v>
      </c>
      <c r="T5" s="2" t="n">
        <v>41142</v>
      </c>
    </row>
    <row r="6">
      <c r="A6" s="2" t="n">
        <v>5</v>
      </c>
      <c r="B6" s="2" t="inlineStr">
        <is>
          <t>6END8c4Xk81hHnwGT331W9bszBiEPBHkm4hWnZLNDfmp</t>
        </is>
      </c>
      <c r="C6" s="2" t="inlineStr">
        <is>
          <t>axiom</t>
        </is>
      </c>
      <c r="E6" s="8" t="n">
        <v>2330.42</v>
      </c>
      <c r="F6" s="8" t="n">
        <v>0</v>
      </c>
      <c r="G6" s="8" t="n">
        <v>2330.42</v>
      </c>
      <c r="H6" s="2" t="n">
        <v>228.72</v>
      </c>
      <c r="I6" s="8" t="n">
        <v>1018.9</v>
      </c>
      <c r="J6" s="8" t="n">
        <v>3349.32</v>
      </c>
      <c r="K6" s="2" t="n">
        <v>2</v>
      </c>
      <c r="L6" s="2" t="n">
        <v>17</v>
      </c>
      <c r="M6" s="2" t="inlineStr">
        <is>
          <t>2026-10-15T05:10:45Z</t>
        </is>
      </c>
      <c r="N6" s="2" t="inlineStr">
        <is>
          <t>2026-10-15T05:24:13Z</t>
        </is>
      </c>
      <c r="O6" s="2" t="n">
        <v>4515</v>
      </c>
      <c r="P6" s="2" t="n">
        <v>2.793968e-09</v>
      </c>
      <c r="Q6" s="8" t="n">
        <v>0</v>
      </c>
      <c r="R6" s="8" t="n">
        <v>23043.03</v>
      </c>
      <c r="S6" s="2" t="n">
        <v>1206</v>
      </c>
      <c r="T6" s="2" t="n">
        <v>175</v>
      </c>
    </row>
    <row r="7">
      <c r="A7" s="2" t="n">
        <v>6</v>
      </c>
      <c r="B7" s="2" t="inlineStr">
        <is>
          <t>CLeLSah38ADw1gFR1ARb3F1zJYUrUsaTpNXQPgqqxDDd</t>
        </is>
      </c>
      <c r="C7" s="2" t="inlineStr">
        <is>
          <t>fomo</t>
        </is>
      </c>
      <c r="E7" s="8" t="n">
        <v>2175.21</v>
      </c>
      <c r="F7" s="8" t="n">
        <v>0</v>
      </c>
      <c r="G7" s="8" t="n">
        <v>2175.21</v>
      </c>
      <c r="H7" s="2" t="n">
        <v>201.64</v>
      </c>
      <c r="I7" s="8" t="n">
        <v>1078.77</v>
      </c>
      <c r="J7" s="8" t="n">
        <v>3253.99</v>
      </c>
      <c r="K7" s="2" t="n">
        <v>2</v>
      </c>
      <c r="L7" s="2" t="n">
        <v>5</v>
      </c>
      <c r="M7" s="2" t="inlineStr">
        <is>
          <t>2026-10-15T05:01:43Z</t>
        </is>
      </c>
      <c r="N7" s="2" t="inlineStr">
        <is>
          <t>2026-10-15T05:34:20Z</t>
        </is>
      </c>
      <c r="O7" s="2" t="n">
        <v>1957</v>
      </c>
      <c r="P7" s="2" t="n">
        <v>0</v>
      </c>
      <c r="Q7" s="8" t="n">
        <v>0</v>
      </c>
      <c r="R7" s="8" t="n">
        <v>-102.17</v>
      </c>
      <c r="S7" s="2" t="n">
        <v>622</v>
      </c>
      <c r="T7" s="2" t="n">
        <v>120</v>
      </c>
    </row>
    <row r="8">
      <c r="A8" s="2" t="n">
        <v>7</v>
      </c>
      <c r="B8" s="2" t="inlineStr">
        <is>
          <t>o997fRSR6LJmTbgjjf3QNSh6ZeEQ9AdmBJCLaokaFmu</t>
        </is>
      </c>
      <c r="C8" s="2" t="inlineStr">
        <is>
          <t>fomo</t>
        </is>
      </c>
      <c r="E8" s="8" t="n">
        <v>2093.41</v>
      </c>
      <c r="F8" s="8" t="n">
        <v>1288.71</v>
      </c>
      <c r="G8" s="8" t="n">
        <v>3382.13</v>
      </c>
      <c r="H8" s="2" t="n">
        <v>666.42</v>
      </c>
      <c r="I8" s="8" t="n">
        <v>507.51</v>
      </c>
      <c r="J8" s="8" t="n">
        <v>2372.47</v>
      </c>
      <c r="K8" s="2" t="n">
        <v>2</v>
      </c>
      <c r="L8" s="2" t="n">
        <v>2</v>
      </c>
      <c r="M8" s="2" t="inlineStr">
        <is>
          <t>2026-10-15T05:04:28Z</t>
        </is>
      </c>
      <c r="N8" s="2" t="inlineStr">
        <is>
          <t>2026-10-15T05:34:40Z</t>
        </is>
      </c>
      <c r="O8" s="2" t="n">
        <v>4891</v>
      </c>
      <c r="P8" s="2" t="n">
        <v>6194219.202153</v>
      </c>
      <c r="Q8" s="8" t="n">
        <v>1517.17</v>
      </c>
      <c r="R8" s="8" t="n">
        <v>6124.73</v>
      </c>
      <c r="S8" s="2" t="n">
        <v>270</v>
      </c>
      <c r="T8" s="2" t="n">
        <v>87</v>
      </c>
    </row>
    <row r="9">
      <c r="A9" s="2" t="n">
        <v>8</v>
      </c>
      <c r="B9" s="2" t="inlineStr">
        <is>
          <t>6NZWg24HVWuhPrNQuJ5bdxGYmUTrB62tAQEmHnyErErL</t>
        </is>
      </c>
      <c r="C9" s="2" t="inlineStr">
        <is>
          <t>gmgn</t>
        </is>
      </c>
      <c r="E9" s="8" t="n">
        <v>1864.46</v>
      </c>
      <c r="F9" s="8" t="n">
        <v>0</v>
      </c>
      <c r="G9" s="8" t="n">
        <v>1864.46</v>
      </c>
      <c r="H9" s="2" t="n">
        <v>599.6900000000001</v>
      </c>
      <c r="I9" s="8" t="n">
        <v>310.91</v>
      </c>
      <c r="J9" s="8" t="n">
        <v>2175.36</v>
      </c>
      <c r="K9" s="2" t="n">
        <v>3</v>
      </c>
      <c r="L9" s="2" t="n">
        <v>6</v>
      </c>
      <c r="M9" s="2" t="inlineStr">
        <is>
          <t>2026-10-15T05:01:30Z</t>
        </is>
      </c>
      <c r="N9" s="2" t="inlineStr">
        <is>
          <t>2026-10-15T05:25:37Z</t>
        </is>
      </c>
      <c r="O9" s="2" t="n">
        <v>1447</v>
      </c>
      <c r="P9" s="2" t="n">
        <v>0</v>
      </c>
      <c r="Q9" s="8" t="n">
        <v>0</v>
      </c>
      <c r="R9" s="8" t="n">
        <v>3136.28</v>
      </c>
      <c r="S9" s="2" t="n">
        <v>257</v>
      </c>
      <c r="T9" s="2" t="n">
        <v>71</v>
      </c>
    </row>
    <row r="10">
      <c r="A10" s="2" t="n">
        <v>9</v>
      </c>
      <c r="B10" s="2" t="inlineStr">
        <is>
          <t>GunhR3usjEjQfiDe7ejuHZ9rGZ7BfZjGFXDr8AtcEzMR</t>
        </is>
      </c>
      <c r="C10" s="2" t="inlineStr">
        <is>
          <t>axiom</t>
        </is>
      </c>
      <c r="E10" s="8" t="n">
        <v>1632.41</v>
      </c>
      <c r="F10" s="8" t="n">
        <v>0</v>
      </c>
      <c r="G10" s="8" t="n">
        <v>1632.41</v>
      </c>
      <c r="H10" s="2" t="n">
        <v>0</v>
      </c>
      <c r="I10" s="8" t="n">
        <v>0</v>
      </c>
      <c r="J10" s="8" t="n">
        <v>1632.41</v>
      </c>
      <c r="K10" s="2" t="n">
        <v>0</v>
      </c>
      <c r="L10" s="2" t="n">
        <v>15</v>
      </c>
      <c r="M10" s="2" t="inlineStr">
        <is>
          <t>2026-10-15T05:12:12Z</t>
        </is>
      </c>
      <c r="N10" s="2" t="inlineStr">
        <is>
          <t>2026-10-15T05:12:17Z</t>
        </is>
      </c>
      <c r="P10" s="2" t="n">
        <v>0</v>
      </c>
      <c r="Q10" s="8" t="n">
        <v>0</v>
      </c>
      <c r="R10" s="8" t="n">
        <v>-9380.74</v>
      </c>
      <c r="S10" s="2" t="n">
        <v>9724</v>
      </c>
      <c r="T10" s="2" t="n">
        <v>1622</v>
      </c>
    </row>
    <row r="11">
      <c r="A11" s="2" t="n">
        <v>10</v>
      </c>
      <c r="B11" s="2" t="inlineStr">
        <is>
          <t>EFJxb2HNhpPKmfZzoXHLzokEf6gRdzs3Z3hLNxFBQyJm</t>
        </is>
      </c>
      <c r="C11" s="2" t="inlineStr">
        <is>
          <t>fomo</t>
        </is>
      </c>
      <c r="D11" s="2" t="inlineStr">
        <is>
          <t>Harko</t>
        </is>
      </c>
      <c r="E11" s="8" t="n">
        <v>1533.83</v>
      </c>
      <c r="F11" s="8" t="n">
        <v>0</v>
      </c>
      <c r="G11" s="8" t="n">
        <v>1533.83</v>
      </c>
      <c r="H11" s="2" t="n">
        <v>139.46</v>
      </c>
      <c r="I11" s="8" t="n">
        <v>1099.84</v>
      </c>
      <c r="J11" s="8" t="n">
        <v>2633.67</v>
      </c>
      <c r="K11" s="2" t="n">
        <v>2</v>
      </c>
      <c r="L11" s="2" t="n">
        <v>4</v>
      </c>
      <c r="M11" s="2" t="inlineStr">
        <is>
          <t>2026-10-15T05:08:22Z</t>
        </is>
      </c>
      <c r="N11" s="2" t="inlineStr">
        <is>
          <t>2026-10-15T05:34:22Z</t>
        </is>
      </c>
      <c r="O11" s="2" t="n">
        <v>1560</v>
      </c>
      <c r="P11" s="2" t="n">
        <v>0</v>
      </c>
      <c r="Q11" s="8" t="n">
        <v>0</v>
      </c>
      <c r="R11" s="8" t="n">
        <v>35385.64</v>
      </c>
      <c r="S11" s="2" t="n">
        <v>1823</v>
      </c>
      <c r="T11" s="2" t="n">
        <v>387</v>
      </c>
    </row>
    <row r="12">
      <c r="A12" s="2" t="n">
        <v>11</v>
      </c>
      <c r="B12" s="2" t="inlineStr">
        <is>
          <t>6cLXobwM9PkXaiV2hFg2FwAH5eAUuodgQWNU7vAQESBC</t>
        </is>
      </c>
      <c r="C12" s="2" t="inlineStr">
        <is>
          <t>axiom</t>
        </is>
      </c>
      <c r="E12" s="8" t="n">
        <v>1523.27</v>
      </c>
      <c r="F12" s="8" t="n">
        <v>8.85</v>
      </c>
      <c r="G12" s="8" t="n">
        <v>1532.12</v>
      </c>
      <c r="H12" s="2" t="n">
        <v>137.18</v>
      </c>
      <c r="I12" s="8" t="n">
        <v>1116.89</v>
      </c>
      <c r="J12" s="8" t="n">
        <v>2085.89</v>
      </c>
      <c r="K12" s="2" t="n">
        <v>32</v>
      </c>
      <c r="L12" s="2" t="n">
        <v>5</v>
      </c>
      <c r="M12" s="2" t="inlineStr">
        <is>
          <t>2026-10-15T05:00:26Z</t>
        </is>
      </c>
      <c r="N12" s="2" t="inlineStr">
        <is>
          <t>2026-10-15T06:25:01Z</t>
        </is>
      </c>
      <c r="O12" s="2" t="n">
        <v>5134</v>
      </c>
      <c r="P12" s="2" t="n">
        <v>2299040.387267001</v>
      </c>
      <c r="Q12" s="8" t="n">
        <v>563.11</v>
      </c>
      <c r="R12" s="8" t="n">
        <v>908.34</v>
      </c>
      <c r="S12" s="2" t="n">
        <v>177</v>
      </c>
      <c r="T12" s="2" t="n">
        <v>29</v>
      </c>
    </row>
    <row r="13">
      <c r="A13" s="2" t="n">
        <v>12</v>
      </c>
      <c r="B13" s="2" t="inlineStr">
        <is>
          <t>EU8f7oUVEFKYBymLYkDihr8LemRySsoHiy3TaHbnTD9X</t>
        </is>
      </c>
      <c r="C13" s="2" t="inlineStr">
        <is>
          <t>axiom</t>
        </is>
      </c>
      <c r="E13" s="8" t="n">
        <v>1409.91</v>
      </c>
      <c r="F13" s="8" t="n">
        <v>0</v>
      </c>
      <c r="G13" s="8" t="n">
        <v>1409.91</v>
      </c>
      <c r="H13" s="2" t="n">
        <v>775.96</v>
      </c>
      <c r="I13" s="8" t="n">
        <v>181.7</v>
      </c>
      <c r="J13" s="8" t="n">
        <v>1591.6</v>
      </c>
      <c r="K13" s="2" t="n">
        <v>9</v>
      </c>
      <c r="L13" s="2" t="n">
        <v>34</v>
      </c>
      <c r="M13" s="2" t="inlineStr">
        <is>
          <t>2026-10-15T04:58:38Z</t>
        </is>
      </c>
      <c r="N13" s="2" t="inlineStr">
        <is>
          <t>2026-10-15T05:19:50Z</t>
        </is>
      </c>
      <c r="O13" s="2" t="n">
        <v>1272</v>
      </c>
      <c r="P13" s="2" t="n">
        <v>0</v>
      </c>
      <c r="Q13" s="8" t="n">
        <v>0</v>
      </c>
      <c r="R13" s="8" t="n">
        <v>82829.89</v>
      </c>
      <c r="S13" s="2" t="n">
        <v>32322</v>
      </c>
      <c r="T13" s="2" t="n">
        <v>6554</v>
      </c>
    </row>
    <row r="14">
      <c r="A14" s="2" t="n">
        <v>13</v>
      </c>
      <c r="B14" s="2" t="inlineStr">
        <is>
          <t>BSsyo5oh2tuaZBjjWq6V3NHS66BTHfmV1aJd6RDyknLQ</t>
        </is>
      </c>
      <c r="C14" s="2" t="inlineStr">
        <is>
          <t>fomo</t>
        </is>
      </c>
      <c r="D14" s="2" t="inlineStr">
        <is>
          <t>Clark 🆓</t>
        </is>
      </c>
      <c r="E14" s="8" t="n">
        <v>1408.69</v>
      </c>
      <c r="F14" s="8" t="n">
        <v>733.87</v>
      </c>
      <c r="G14" s="8" t="n">
        <v>2142.55</v>
      </c>
      <c r="H14" s="2" t="n">
        <v>119.03</v>
      </c>
      <c r="I14" s="8" t="n">
        <v>1800</v>
      </c>
      <c r="J14" s="8" t="n">
        <v>2408.69</v>
      </c>
      <c r="K14" s="2" t="n">
        <v>6</v>
      </c>
      <c r="L14" s="2" t="n">
        <v>3</v>
      </c>
      <c r="M14" s="2" t="inlineStr">
        <is>
          <t>2026-10-15T05:11:38Z</t>
        </is>
      </c>
      <c r="N14" s="2" t="inlineStr">
        <is>
          <t>2026-10-15T05:46:15Z</t>
        </is>
      </c>
      <c r="O14" s="2" t="n">
        <v>4461</v>
      </c>
      <c r="P14" s="2" t="n">
        <v>6262404.156242</v>
      </c>
      <c r="Q14" s="8" t="n">
        <v>1533.87</v>
      </c>
      <c r="R14" s="8" t="n">
        <v>132264.79</v>
      </c>
      <c r="S14" s="2" t="n">
        <v>2055</v>
      </c>
      <c r="T14" s="2" t="n">
        <v>414</v>
      </c>
    </row>
    <row r="15">
      <c r="A15" s="2" t="n">
        <v>14</v>
      </c>
      <c r="B15" s="2" t="inlineStr">
        <is>
          <t>9sqBx1FqZqTi1Zo4TpRamwQDED7wgeueh7wSUyxhKpJE</t>
        </is>
      </c>
      <c r="C15" s="2" t="inlineStr">
        <is>
          <t>axiom</t>
        </is>
      </c>
      <c r="E15" s="8" t="n">
        <v>1379.73</v>
      </c>
      <c r="F15" s="8" t="n">
        <v>0</v>
      </c>
      <c r="G15" s="8" t="n">
        <v>1379.73</v>
      </c>
      <c r="H15" s="2" t="n">
        <v>683.47</v>
      </c>
      <c r="I15" s="8" t="n">
        <v>201.87</v>
      </c>
      <c r="J15" s="8" t="n">
        <v>1581.6</v>
      </c>
      <c r="K15" s="2" t="n">
        <v>9</v>
      </c>
      <c r="L15" s="2" t="n">
        <v>34</v>
      </c>
      <c r="M15" s="2" t="inlineStr">
        <is>
          <t>2026-10-15T04:58:38Z</t>
        </is>
      </c>
      <c r="N15" s="2" t="inlineStr">
        <is>
          <t>2026-10-15T05:19:50Z</t>
        </is>
      </c>
      <c r="O15" s="2" t="n">
        <v>1272</v>
      </c>
      <c r="P15" s="2" t="n">
        <v>0</v>
      </c>
      <c r="Q15" s="8" t="n">
        <v>0</v>
      </c>
      <c r="R15" s="8" t="n">
        <v>75993.37</v>
      </c>
      <c r="S15" s="2" t="n">
        <v>32216</v>
      </c>
      <c r="T15" s="2" t="n">
        <v>6552</v>
      </c>
    </row>
    <row r="16">
      <c r="A16" s="2" t="n">
        <v>15</v>
      </c>
      <c r="B16" s="2" t="inlineStr">
        <is>
          <t>6SHqkzJfZYiNqmz4xDiwndEAqbubuAVt44LwJ9GF3obS</t>
        </is>
      </c>
      <c r="C16" s="2" t="inlineStr">
        <is>
          <t>axiom;fomo</t>
        </is>
      </c>
      <c r="D16" s="2" t="inlineStr">
        <is>
          <t>ocr ⚘</t>
        </is>
      </c>
      <c r="E16" s="8" t="n">
        <v>1243.76</v>
      </c>
      <c r="F16" s="8" t="n">
        <v>0</v>
      </c>
      <c r="G16" s="8" t="n">
        <v>1243.76</v>
      </c>
      <c r="H16" s="2" t="n">
        <v>46.07</v>
      </c>
      <c r="I16" s="8" t="n">
        <v>2700</v>
      </c>
      <c r="J16" s="8" t="n">
        <v>3943.76</v>
      </c>
      <c r="K16" s="2" t="n">
        <v>7</v>
      </c>
      <c r="L16" s="2" t="n">
        <v>1</v>
      </c>
      <c r="M16" s="2" t="inlineStr">
        <is>
          <t>2026-10-15T05:13:26Z</t>
        </is>
      </c>
      <c r="N16" s="2" t="inlineStr">
        <is>
          <t>2026-10-15T05:34:21Z</t>
        </is>
      </c>
      <c r="O16" s="2" t="n">
        <v>1255</v>
      </c>
      <c r="P16" s="2" t="n">
        <v>0</v>
      </c>
      <c r="Q16" s="8" t="n">
        <v>0</v>
      </c>
      <c r="R16" s="8" t="n">
        <v>-127952.33</v>
      </c>
      <c r="S16" s="2" t="n">
        <v>7375</v>
      </c>
      <c r="T16" s="2" t="n">
        <v>1714</v>
      </c>
    </row>
    <row r="17">
      <c r="A17" s="2" t="n">
        <v>16</v>
      </c>
      <c r="B17" s="2" t="inlineStr">
        <is>
          <t>DPQXGSpn4NXJxUNRwzAJ84CuufM83mToiJseVwPRKL3u</t>
        </is>
      </c>
      <c r="C17" s="2" t="inlineStr">
        <is>
          <t>axiom;fomo</t>
        </is>
      </c>
      <c r="D17" s="2" t="inlineStr">
        <is>
          <t>jaq</t>
        </is>
      </c>
      <c r="E17" s="8" t="n">
        <v>1222.39</v>
      </c>
      <c r="F17" s="8" t="n">
        <v>0</v>
      </c>
      <c r="G17" s="8" t="n">
        <v>1222.39</v>
      </c>
      <c r="H17" s="2" t="n">
        <v>35.98</v>
      </c>
      <c r="I17" s="8" t="n">
        <v>3397</v>
      </c>
      <c r="J17" s="8" t="n">
        <v>4619.4</v>
      </c>
      <c r="K17" s="2" t="n">
        <v>10</v>
      </c>
      <c r="L17" s="2" t="n">
        <v>4</v>
      </c>
      <c r="M17" s="2" t="inlineStr">
        <is>
          <t>2026-10-15T05:06:05Z</t>
        </is>
      </c>
      <c r="N17" s="2" t="inlineStr">
        <is>
          <t>2026-10-15T05:51:00Z</t>
        </is>
      </c>
      <c r="O17" s="2" t="n">
        <v>2695</v>
      </c>
      <c r="P17" s="2" t="n">
        <v>0</v>
      </c>
      <c r="Q17" s="8" t="n">
        <v>0</v>
      </c>
      <c r="R17" s="8" t="n">
        <v>-188691.37</v>
      </c>
      <c r="S17" s="2" t="n">
        <v>1820</v>
      </c>
      <c r="T17" s="2" t="n">
        <v>309</v>
      </c>
    </row>
    <row r="18">
      <c r="A18" s="2" t="n">
        <v>17</v>
      </c>
      <c r="B18" s="2" t="inlineStr">
        <is>
          <t>HTYho9ioTJcS4Dymi57HB65RBFu549gjyQ7kncfkknti</t>
        </is>
      </c>
      <c r="C18" s="2" t="inlineStr">
        <is>
          <t>fomo</t>
        </is>
      </c>
      <c r="D18" s="2" t="inlineStr">
        <is>
          <t>BrazilZZ🇧🇷</t>
        </is>
      </c>
      <c r="E18" s="8" t="n">
        <v>1194.31</v>
      </c>
      <c r="F18" s="8" t="n">
        <v>0</v>
      </c>
      <c r="G18" s="8" t="n">
        <v>1194.31</v>
      </c>
      <c r="H18" s="2" t="n">
        <v>47.78</v>
      </c>
      <c r="I18" s="8" t="n">
        <v>2499.4</v>
      </c>
      <c r="J18" s="8" t="n">
        <v>3693.71</v>
      </c>
      <c r="K18" s="2" t="n">
        <v>3</v>
      </c>
      <c r="L18" s="2" t="n">
        <v>3</v>
      </c>
      <c r="M18" s="2" t="inlineStr">
        <is>
          <t>2026-10-15T05:12:10Z</t>
        </is>
      </c>
      <c r="N18" s="2" t="inlineStr">
        <is>
          <t>2026-10-15T05:35:01Z</t>
        </is>
      </c>
      <c r="O18" s="2" t="n">
        <v>1372</v>
      </c>
      <c r="P18" s="2" t="n">
        <v>0</v>
      </c>
      <c r="Q18" s="8" t="n">
        <v>0</v>
      </c>
      <c r="R18" s="8" t="n">
        <v>-70813.56</v>
      </c>
      <c r="S18" s="2" t="n">
        <v>10328</v>
      </c>
      <c r="T18" s="2" t="n">
        <v>2033</v>
      </c>
    </row>
    <row r="19">
      <c r="A19" s="2" t="n">
        <v>18</v>
      </c>
      <c r="B19" s="2" t="inlineStr">
        <is>
          <t>5dQJ5xZZ1qjcLDZ8PDqymMeKzBDnLFjtzmJv4aCfpui8</t>
        </is>
      </c>
      <c r="C19" s="2" t="inlineStr">
        <is>
          <t>axiom</t>
        </is>
      </c>
      <c r="E19" s="8" t="n">
        <v>1159.82</v>
      </c>
      <c r="F19" s="8" t="n">
        <v>0</v>
      </c>
      <c r="G19" s="8" t="n">
        <v>1159.82</v>
      </c>
      <c r="H19" s="2" t="n">
        <v>619.02</v>
      </c>
      <c r="I19" s="8" t="n">
        <v>187.36</v>
      </c>
      <c r="J19" s="8" t="n">
        <v>1347.18</v>
      </c>
      <c r="K19" s="2" t="n">
        <v>9</v>
      </c>
      <c r="L19" s="2" t="n">
        <v>34</v>
      </c>
      <c r="M19" s="2" t="inlineStr">
        <is>
          <t>2026-10-15T04:58:38Z</t>
        </is>
      </c>
      <c r="N19" s="2" t="inlineStr">
        <is>
          <t>2026-10-15T05:19:50Z</t>
        </is>
      </c>
      <c r="O19" s="2" t="n">
        <v>1272</v>
      </c>
      <c r="P19" s="2" t="n">
        <v>0</v>
      </c>
      <c r="Q19" s="8" t="n">
        <v>0</v>
      </c>
      <c r="R19" s="8" t="n">
        <v>89790.61</v>
      </c>
      <c r="S19" s="2" t="n">
        <v>32281</v>
      </c>
      <c r="T19" s="2" t="n">
        <v>6556</v>
      </c>
    </row>
    <row r="20">
      <c r="A20" s="2" t="n">
        <v>19</v>
      </c>
      <c r="B20" s="2" t="inlineStr">
        <is>
          <t>7D5fAcz2LTARqPc7D1L2aVFDajizw358PV4tPCTDJpE5</t>
        </is>
      </c>
      <c r="C20" s="2" t="inlineStr">
        <is>
          <t>potential_bot;fomo</t>
        </is>
      </c>
      <c r="D20" s="2" t="inlineStr">
        <is>
          <t>The Night Owl</t>
        </is>
      </c>
      <c r="E20" s="8" t="n">
        <v>1137.87</v>
      </c>
      <c r="F20" s="8" t="n">
        <v>3036.35</v>
      </c>
      <c r="G20" s="8" t="n">
        <v>4174.22</v>
      </c>
      <c r="H20" s="2" t="n">
        <v>196.71</v>
      </c>
      <c r="I20" s="8" t="n">
        <v>2122</v>
      </c>
      <c r="J20" s="8" t="n">
        <v>1628.17</v>
      </c>
      <c r="K20" s="2" t="n">
        <v>10</v>
      </c>
      <c r="L20" s="2" t="n">
        <v>2</v>
      </c>
      <c r="M20" s="2" t="inlineStr">
        <is>
          <t>2026-10-15T05:10:17Z</t>
        </is>
      </c>
      <c r="N20" s="2" t="inlineStr">
        <is>
          <t>2026-10-15T05:54:29Z</t>
        </is>
      </c>
      <c r="O20" s="2" t="n">
        <v>4542</v>
      </c>
      <c r="P20" s="2" t="n">
        <v>19058506.949707</v>
      </c>
      <c r="Q20" s="8" t="n">
        <v>4668.05</v>
      </c>
      <c r="R20" s="8" t="n">
        <v>39368.03</v>
      </c>
      <c r="S20" s="2" t="n">
        <v>3914</v>
      </c>
      <c r="T20" s="2" t="n">
        <v>700</v>
      </c>
    </row>
    <row r="21">
      <c r="A21" s="2" t="n">
        <v>20</v>
      </c>
      <c r="B21" s="2" t="inlineStr">
        <is>
          <t>HB3GebzspXg5PBpeqewkjHPxugf4Uhx8xdZWGPC9q5ks</t>
        </is>
      </c>
      <c r="C21" s="2" t="inlineStr">
        <is>
          <t>axiom;pumpfun-app</t>
        </is>
      </c>
      <c r="D21" s="2" t="inlineStr">
        <is>
          <t>snacky14</t>
        </is>
      </c>
      <c r="E21" s="8" t="n">
        <v>1120.56</v>
      </c>
      <c r="F21" s="8" t="n">
        <v>0</v>
      </c>
      <c r="G21" s="8" t="n">
        <v>1120.56</v>
      </c>
      <c r="H21" s="2" t="n">
        <v>78.73</v>
      </c>
      <c r="I21" s="8" t="n">
        <v>1423.3</v>
      </c>
      <c r="J21" s="8" t="n">
        <v>1520.46</v>
      </c>
      <c r="K21" s="2" t="n">
        <v>8</v>
      </c>
      <c r="L21" s="2" t="n">
        <v>7</v>
      </c>
      <c r="M21" s="2" t="inlineStr">
        <is>
          <t>2026-10-15T05:04:54Z</t>
        </is>
      </c>
      <c r="N21" s="2" t="inlineStr">
        <is>
          <t>2026-10-15T05:12:30Z</t>
        </is>
      </c>
      <c r="O21" s="2" t="n">
        <v>457</v>
      </c>
      <c r="P21" s="2" t="n">
        <v>0</v>
      </c>
      <c r="Q21" s="8" t="n">
        <v>0</v>
      </c>
      <c r="R21" s="8" t="n">
        <v>260289.35</v>
      </c>
      <c r="S21" s="2" t="n">
        <v>15008</v>
      </c>
      <c r="T21" s="2" t="n">
        <v>2153</v>
      </c>
    </row>
    <row r="22">
      <c r="A22" s="2" t="n">
        <v>21</v>
      </c>
      <c r="B22" s="2" t="inlineStr">
        <is>
          <t>6qtsui7ntgkDyB1YzokZAmDeBRTe1GcWTpT76uKpPBPu</t>
        </is>
      </c>
      <c r="C22" s="2" t="inlineStr">
        <is>
          <t>axiom</t>
        </is>
      </c>
      <c r="E22" s="8" t="n">
        <v>1110.46</v>
      </c>
      <c r="F22" s="8" t="n">
        <v>0</v>
      </c>
      <c r="G22" s="8" t="n">
        <v>1110.46</v>
      </c>
      <c r="H22" s="2" t="n">
        <v>582.09</v>
      </c>
      <c r="I22" s="8" t="n">
        <v>190.77</v>
      </c>
      <c r="J22" s="8" t="n">
        <v>1301.24</v>
      </c>
      <c r="K22" s="2" t="n">
        <v>9</v>
      </c>
      <c r="L22" s="2" t="n">
        <v>39</v>
      </c>
      <c r="M22" s="2" t="inlineStr">
        <is>
          <t>2026-10-15T04:58:38Z</t>
        </is>
      </c>
      <c r="N22" s="2" t="inlineStr">
        <is>
          <t>2026-10-15T05:19:50Z</t>
        </is>
      </c>
      <c r="O22" s="2" t="n">
        <v>1272</v>
      </c>
      <c r="P22" s="2" t="n">
        <v>0</v>
      </c>
      <c r="Q22" s="8" t="n">
        <v>0</v>
      </c>
      <c r="R22" s="8" t="n">
        <v>90494.21000000001</v>
      </c>
      <c r="S22" s="2" t="n">
        <v>32400</v>
      </c>
      <c r="T22" s="2" t="n">
        <v>6562</v>
      </c>
    </row>
    <row r="23">
      <c r="A23" s="2" t="n">
        <v>22</v>
      </c>
      <c r="B23" s="2" t="inlineStr">
        <is>
          <t>3YRuiSpoPpxjrdZMTQvXVK2v4Cjdy6ZTzV5NpxSaW4gQ</t>
        </is>
      </c>
      <c r="C23" s="2" t="inlineStr">
        <is>
          <t>axiom;bloom</t>
        </is>
      </c>
      <c r="E23" s="8" t="n">
        <v>1054.96</v>
      </c>
      <c r="F23" s="8" t="n">
        <v>0</v>
      </c>
      <c r="G23" s="8" t="n">
        <v>1054.96</v>
      </c>
      <c r="H23" s="2" t="n">
        <v>0</v>
      </c>
      <c r="I23" s="8" t="n">
        <v>0</v>
      </c>
      <c r="J23" s="8" t="n">
        <v>1054.96</v>
      </c>
      <c r="K23" s="2" t="n">
        <v>0</v>
      </c>
      <c r="L23" s="2" t="n">
        <v>9</v>
      </c>
      <c r="M23" s="2" t="inlineStr">
        <is>
          <t>2026-10-15T05:10:48Z</t>
        </is>
      </c>
      <c r="N23" s="2" t="inlineStr">
        <is>
          <t>2026-10-15T05:12:11Z</t>
        </is>
      </c>
      <c r="P23" s="2" t="n">
        <v>0</v>
      </c>
      <c r="Q23" s="8" t="n">
        <v>0</v>
      </c>
      <c r="R23" s="8" t="n">
        <v>235449.04</v>
      </c>
      <c r="S23" s="2" t="n">
        <v>28002</v>
      </c>
      <c r="T23" s="2" t="n">
        <v>6151</v>
      </c>
    </row>
    <row r="24">
      <c r="A24" s="2" t="n">
        <v>23</v>
      </c>
      <c r="B24" s="2" t="inlineStr">
        <is>
          <t>FSHXkmt8TPdwE3Qe9xxpX7QFVfJC4YfdDsCzZmM2G2Wi</t>
        </is>
      </c>
      <c r="C24" s="2" t="inlineStr">
        <is>
          <t>axiom;sns</t>
        </is>
      </c>
      <c r="D24" s="2" t="inlineStr">
        <is>
          <t>neverforever.sol</t>
        </is>
      </c>
      <c r="E24" s="8" t="n">
        <v>1017.8</v>
      </c>
      <c r="F24" s="8" t="n">
        <v>0</v>
      </c>
      <c r="G24" s="8" t="n">
        <v>1017.8</v>
      </c>
      <c r="H24" s="2" t="n">
        <v>57.92</v>
      </c>
      <c r="I24" s="8" t="n">
        <v>1757.29</v>
      </c>
      <c r="J24" s="8" t="n">
        <v>2775.09</v>
      </c>
      <c r="K24" s="2" t="n">
        <v>14</v>
      </c>
      <c r="L24" s="2" t="n">
        <v>34</v>
      </c>
      <c r="M24" s="2" t="inlineStr">
        <is>
          <t>2026-10-15T05:05:04Z</t>
        </is>
      </c>
      <c r="N24" s="2" t="inlineStr">
        <is>
          <t>2026-10-15T05:48:23Z</t>
        </is>
      </c>
      <c r="O24" s="2" t="n">
        <v>2598</v>
      </c>
      <c r="P24" s="2" t="n">
        <v>0</v>
      </c>
      <c r="Q24" s="8" t="n">
        <v>0</v>
      </c>
      <c r="R24" s="8" t="n">
        <v>136418.25</v>
      </c>
      <c r="S24" s="2" t="n">
        <v>15551</v>
      </c>
      <c r="T24" s="2" t="n">
        <v>2035</v>
      </c>
    </row>
    <row r="25">
      <c r="A25" s="2" t="n">
        <v>24</v>
      </c>
      <c r="B25" s="2" t="inlineStr">
        <is>
          <t>9NVFdRNEcreYDZqJAhennP2tTzaiNC2p9h9HWTdjLBuB</t>
        </is>
      </c>
      <c r="C25" s="2" t="inlineStr">
        <is>
          <t>axiom;fomo</t>
        </is>
      </c>
      <c r="E25" s="8" t="n">
        <v>1006.62</v>
      </c>
      <c r="F25" s="8" t="n">
        <v>0</v>
      </c>
      <c r="G25" s="8" t="n">
        <v>1006.62</v>
      </c>
      <c r="H25" s="2" t="n">
        <v>40.32</v>
      </c>
      <c r="I25" s="8" t="n">
        <v>2496.63</v>
      </c>
      <c r="J25" s="8" t="n">
        <v>3503.26</v>
      </c>
      <c r="K25" s="2" t="n">
        <v>6</v>
      </c>
      <c r="L25" s="2" t="n">
        <v>4</v>
      </c>
      <c r="M25" s="2" t="inlineStr">
        <is>
          <t>2026-10-15T05:26:15Z</t>
        </is>
      </c>
      <c r="N25" s="2" t="inlineStr">
        <is>
          <t>2026-10-15T05:58:19Z</t>
        </is>
      </c>
      <c r="O25" s="2" t="n">
        <v>1924</v>
      </c>
      <c r="P25" s="2" t="n">
        <v>0</v>
      </c>
      <c r="Q25" s="8" t="n">
        <v>0</v>
      </c>
      <c r="R25" s="8" t="n">
        <v>57866.11</v>
      </c>
      <c r="S25" s="2" t="n">
        <v>14571</v>
      </c>
      <c r="T25" s="2" t="n">
        <v>3789</v>
      </c>
    </row>
    <row r="26">
      <c r="A26" s="2" t="n">
        <v>25</v>
      </c>
      <c r="B26" s="2" t="inlineStr">
        <is>
          <t>DFvoyXaNPANK9ENGekE88FALjt2CMHWspZKTg62hJJ1Z</t>
        </is>
      </c>
      <c r="C26" s="2" t="inlineStr">
        <is>
          <t>fomo</t>
        </is>
      </c>
      <c r="E26" s="8" t="n">
        <v>998.59</v>
      </c>
      <c r="F26" s="8" t="n">
        <v>0</v>
      </c>
      <c r="G26" s="8" t="n">
        <v>998.59</v>
      </c>
      <c r="H26" s="2" t="n">
        <v>96.11</v>
      </c>
      <c r="I26" s="8" t="n">
        <v>1038.98</v>
      </c>
      <c r="J26" s="8" t="n">
        <v>2037.58</v>
      </c>
      <c r="K26" s="2" t="n">
        <v>1</v>
      </c>
      <c r="L26" s="2" t="n">
        <v>1</v>
      </c>
      <c r="M26" s="2" t="inlineStr">
        <is>
          <t>2026-10-15T05:14:58Z</t>
        </is>
      </c>
      <c r="N26" s="2" t="inlineStr">
        <is>
          <t>2026-10-15T05:21:51Z</t>
        </is>
      </c>
      <c r="O26" s="2" t="n">
        <v>413</v>
      </c>
      <c r="P26" s="2" t="n">
        <v>0</v>
      </c>
      <c r="Q26" s="8" t="n">
        <v>0</v>
      </c>
      <c r="R26" s="8" t="n">
        <v>2038.85</v>
      </c>
      <c r="S26" s="2" t="n">
        <v>32</v>
      </c>
      <c r="T26" s="2" t="n">
        <v>12</v>
      </c>
    </row>
    <row r="27">
      <c r="A27" s="2" t="n">
        <v>26</v>
      </c>
      <c r="B27" s="2" t="inlineStr">
        <is>
          <t>DEdwtjvCs6dSadA8b6EQwCP95mXebTqMDK6wh13xhdpR</t>
        </is>
      </c>
      <c r="C27" s="2" t="inlineStr">
        <is>
          <t>terminal;axiom</t>
        </is>
      </c>
      <c r="E27" s="8" t="n">
        <v>989.4</v>
      </c>
      <c r="F27" s="8" t="n">
        <v>0</v>
      </c>
      <c r="G27" s="8" t="n">
        <v>989.4</v>
      </c>
      <c r="H27" s="2" t="n">
        <v>154.02</v>
      </c>
      <c r="I27" s="8" t="n">
        <v>642.38</v>
      </c>
      <c r="J27" s="8" t="n">
        <v>1631.78</v>
      </c>
      <c r="K27" s="2" t="n">
        <v>3</v>
      </c>
      <c r="L27" s="2" t="n">
        <v>9</v>
      </c>
      <c r="M27" s="2" t="inlineStr">
        <is>
          <t>2026-10-15T05:00:00Z</t>
        </is>
      </c>
      <c r="N27" s="2" t="inlineStr">
        <is>
          <t>2026-10-15T05:10:49Z</t>
        </is>
      </c>
      <c r="O27" s="2" t="n">
        <v>650</v>
      </c>
      <c r="P27" s="2" t="n">
        <v>0</v>
      </c>
      <c r="Q27" s="8" t="n">
        <v>0</v>
      </c>
      <c r="R27" s="8" t="n">
        <v>171795.89</v>
      </c>
      <c r="S27" s="2" t="n">
        <v>43891</v>
      </c>
      <c r="T27" s="2" t="n">
        <v>19105</v>
      </c>
    </row>
    <row r="28">
      <c r="A28" s="2" t="n">
        <v>27</v>
      </c>
      <c r="B28" s="2" t="inlineStr">
        <is>
          <t>GNJmDgfMeVD5gvfSFSyJzCXnFNSxM5xhnzSToTQ4YbUz</t>
        </is>
      </c>
      <c r="C28" s="2" t="inlineStr">
        <is>
          <t>axiom</t>
        </is>
      </c>
      <c r="E28" s="8" t="n">
        <v>983.76</v>
      </c>
      <c r="F28" s="8" t="n">
        <v>0</v>
      </c>
      <c r="G28" s="8" t="n">
        <v>983.76</v>
      </c>
      <c r="H28" s="2" t="n">
        <v>75.58</v>
      </c>
      <c r="I28" s="8" t="n">
        <v>1301.58</v>
      </c>
      <c r="J28" s="8" t="n">
        <v>2285.34</v>
      </c>
      <c r="K28" s="2" t="n">
        <v>7</v>
      </c>
      <c r="L28" s="2" t="n">
        <v>15</v>
      </c>
      <c r="M28" s="2" t="inlineStr">
        <is>
          <t>2026-10-15T05:45:05Z</t>
        </is>
      </c>
      <c r="N28" s="2" t="inlineStr">
        <is>
          <t>2026-10-15T05:59:12Z</t>
        </is>
      </c>
      <c r="O28" s="2" t="n">
        <v>847</v>
      </c>
      <c r="P28" s="2" t="n">
        <v>0</v>
      </c>
      <c r="Q28" s="8" t="n">
        <v>0</v>
      </c>
      <c r="R28" s="8" t="n">
        <v>19978.24</v>
      </c>
      <c r="S28" s="2" t="n">
        <v>6014</v>
      </c>
      <c r="T28" s="2" t="n">
        <v>1145</v>
      </c>
    </row>
    <row r="29">
      <c r="A29" s="2" t="n">
        <v>28</v>
      </c>
      <c r="B29" s="2" t="inlineStr">
        <is>
          <t>AVjEtg2ECYKXYeqdRQXvaaAZBjfTjYuSMTR4WLhKoeQN</t>
        </is>
      </c>
      <c r="C29" s="2" t="inlineStr">
        <is>
          <t>kol;axiom</t>
        </is>
      </c>
      <c r="D29" s="2" t="inlineStr">
        <is>
          <t>Putrick</t>
        </is>
      </c>
      <c r="E29" s="8" t="n">
        <v>970.55</v>
      </c>
      <c r="F29" s="8" t="n">
        <v>0</v>
      </c>
      <c r="G29" s="8" t="n">
        <v>970.55</v>
      </c>
      <c r="H29" s="2" t="n">
        <v>32.71</v>
      </c>
      <c r="I29" s="8" t="n">
        <v>2967</v>
      </c>
      <c r="J29" s="8" t="n">
        <v>3937.54</v>
      </c>
      <c r="K29" s="2" t="n">
        <v>25</v>
      </c>
      <c r="L29" s="2" t="n">
        <v>14</v>
      </c>
      <c r="M29" s="2" t="inlineStr">
        <is>
          <t>2026-10-15T05:08:13Z</t>
        </is>
      </c>
      <c r="N29" s="2" t="inlineStr">
        <is>
          <t>2026-10-15T05:43:18Z</t>
        </is>
      </c>
      <c r="O29" s="2" t="n">
        <v>2105</v>
      </c>
      <c r="P29" s="2" t="n">
        <v>0</v>
      </c>
      <c r="Q29" s="8" t="n">
        <v>0</v>
      </c>
      <c r="R29" s="8" t="n">
        <v>390230.04</v>
      </c>
      <c r="S29" s="2" t="n">
        <v>87305</v>
      </c>
      <c r="T29" s="2" t="n">
        <v>24806</v>
      </c>
    </row>
    <row r="30">
      <c r="A30" s="2" t="n">
        <v>29</v>
      </c>
      <c r="B30" s="2" t="inlineStr">
        <is>
          <t>HYSq1KBAvqWpEv1pCbV31muKM1za5A1WSHGdiVLUoNhb</t>
        </is>
      </c>
      <c r="C30" s="2" t="inlineStr">
        <is>
          <t>terminal;axiom;pumpfun-app</t>
        </is>
      </c>
      <c r="D30" s="2" t="inlineStr">
        <is>
          <t>Apex</t>
        </is>
      </c>
      <c r="E30" s="8" t="n">
        <v>923.91</v>
      </c>
      <c r="F30" s="8" t="n">
        <v>0</v>
      </c>
      <c r="G30" s="8" t="n">
        <v>923.91</v>
      </c>
      <c r="H30" s="2" t="n">
        <v>86.27</v>
      </c>
      <c r="I30" s="8" t="n">
        <v>1071.02</v>
      </c>
      <c r="J30" s="8" t="n">
        <v>1994.93</v>
      </c>
      <c r="K30" s="2" t="n">
        <v>6</v>
      </c>
      <c r="L30" s="2" t="n">
        <v>14</v>
      </c>
      <c r="M30" s="2" t="inlineStr">
        <is>
          <t>2026-10-15T05:03:22Z</t>
        </is>
      </c>
      <c r="N30" s="2" t="inlineStr">
        <is>
          <t>2026-10-15T05:10:53Z</t>
        </is>
      </c>
      <c r="O30" s="2" t="n">
        <v>451</v>
      </c>
      <c r="P30" s="2" t="n">
        <v>0</v>
      </c>
      <c r="Q30" s="8" t="n">
        <v>0</v>
      </c>
      <c r="R30" s="8" t="n">
        <v>349210.29</v>
      </c>
      <c r="S30" s="2" t="n">
        <v>34599</v>
      </c>
      <c r="T30" s="2" t="n">
        <v>5508</v>
      </c>
    </row>
    <row r="31">
      <c r="A31" s="2" t="n">
        <v>30</v>
      </c>
      <c r="B31" s="2" t="inlineStr">
        <is>
          <t>5d3HHrbc9Ho48jibqiVM5GJi7cuL3p17SiJkc1y8qrQ3</t>
        </is>
      </c>
      <c r="C31" s="2" t="inlineStr">
        <is>
          <t>axiom</t>
        </is>
      </c>
      <c r="E31" s="8" t="n">
        <v>916.13</v>
      </c>
      <c r="F31" s="8" t="n">
        <v>0</v>
      </c>
      <c r="G31" s="8" t="n">
        <v>916.13</v>
      </c>
      <c r="H31" s="2" t="n">
        <v>903.4</v>
      </c>
      <c r="I31" s="8" t="n">
        <v>101.41</v>
      </c>
      <c r="J31" s="8" t="n">
        <v>1017.54</v>
      </c>
      <c r="K31" s="2" t="n">
        <v>1</v>
      </c>
      <c r="L31" s="2" t="n">
        <v>28</v>
      </c>
      <c r="M31" s="2" t="inlineStr">
        <is>
          <t>2026-10-15T05:02:05Z</t>
        </is>
      </c>
      <c r="N31" s="2" t="inlineStr">
        <is>
          <t>2026-10-15T05:22:19Z</t>
        </is>
      </c>
      <c r="O31" s="2" t="n">
        <v>1214</v>
      </c>
      <c r="P31" s="2" t="n">
        <v>0</v>
      </c>
      <c r="Q31" s="8" t="n">
        <v>0</v>
      </c>
      <c r="R31" s="8" t="n">
        <v>792.09</v>
      </c>
      <c r="S31" s="2" t="n">
        <v>813</v>
      </c>
      <c r="T31" s="2" t="n">
        <v>200</v>
      </c>
    </row>
    <row r="32">
      <c r="A32" s="2" t="n">
        <v>31</v>
      </c>
      <c r="B32" s="2" t="inlineStr">
        <is>
          <t>BWiJ8aqkhSQx55KA4mB8KXv82ga2972tLtgpAZiuocrU</t>
        </is>
      </c>
      <c r="C32" s="2" t="inlineStr">
        <is>
          <t>terminal;axiom</t>
        </is>
      </c>
      <c r="E32" s="8" t="n">
        <v>914.37</v>
      </c>
      <c r="F32" s="8" t="n">
        <v>0</v>
      </c>
      <c r="G32" s="8" t="n">
        <v>914.37</v>
      </c>
      <c r="H32" s="2" t="n">
        <v>146.68</v>
      </c>
      <c r="I32" s="8" t="n">
        <v>623.39</v>
      </c>
      <c r="J32" s="8" t="n">
        <v>1537.76</v>
      </c>
      <c r="K32" s="2" t="n">
        <v>3</v>
      </c>
      <c r="L32" s="2" t="n">
        <v>9</v>
      </c>
      <c r="M32" s="2" t="inlineStr">
        <is>
          <t>2026-10-15T05:00:00Z</t>
        </is>
      </c>
      <c r="N32" s="2" t="inlineStr">
        <is>
          <t>2026-10-15T05:10:49Z</t>
        </is>
      </c>
      <c r="O32" s="2" t="n">
        <v>650</v>
      </c>
      <c r="P32" s="2" t="n">
        <v>0</v>
      </c>
      <c r="Q32" s="8" t="n">
        <v>0</v>
      </c>
      <c r="R32" s="8" t="n">
        <v>96695.12</v>
      </c>
      <c r="S32" s="2" t="n">
        <v>19459</v>
      </c>
      <c r="T32" s="2" t="n">
        <v>8062</v>
      </c>
    </row>
    <row r="33">
      <c r="A33" s="2" t="n">
        <v>32</v>
      </c>
      <c r="B33" s="2" t="inlineStr">
        <is>
          <t>6AKrfdeLdgsR1NJjSEih7rajxv8AQvrkmmhn9HMuqrcf</t>
        </is>
      </c>
      <c r="C33" s="2" t="inlineStr">
        <is>
          <t>potential_bot</t>
        </is>
      </c>
      <c r="E33" s="8" t="n">
        <v>898.4</v>
      </c>
      <c r="F33" s="8" t="n">
        <v>0</v>
      </c>
      <c r="G33" s="8" t="n">
        <v>898.4</v>
      </c>
      <c r="H33" s="2" t="n">
        <v>0</v>
      </c>
      <c r="I33" s="8" t="n">
        <v>0</v>
      </c>
      <c r="J33" s="8" t="n">
        <v>898.4</v>
      </c>
      <c r="K33" s="2" t="n">
        <v>0</v>
      </c>
      <c r="L33" s="2" t="n">
        <v>5</v>
      </c>
      <c r="M33" s="2" t="inlineStr">
        <is>
          <t>2026-10-15T04:58:40Z</t>
        </is>
      </c>
      <c r="N33" s="2" t="inlineStr">
        <is>
          <t>2026-10-15T05:03:05Z</t>
        </is>
      </c>
      <c r="P33" s="2" t="n">
        <v>0</v>
      </c>
      <c r="Q33" s="8" t="n">
        <v>0</v>
      </c>
      <c r="R33" s="8" t="n">
        <v>830698.26</v>
      </c>
      <c r="S33" s="2" t="n">
        <v>5613</v>
      </c>
      <c r="T33" s="2" t="n">
        <v>3629</v>
      </c>
    </row>
    <row r="34">
      <c r="A34" s="2" t="n">
        <v>33</v>
      </c>
      <c r="B34" s="2" t="inlineStr">
        <is>
          <t>9eUx1DGDzAQuEXR9pSR9u3QworFT8TRgFJatcCiXNURS</t>
        </is>
      </c>
      <c r="C34" s="2" t="inlineStr">
        <is>
          <t>fomo</t>
        </is>
      </c>
      <c r="D34" s="2" t="inlineStr">
        <is>
          <t>Tristan</t>
        </is>
      </c>
      <c r="E34" s="8" t="n">
        <v>883.38</v>
      </c>
      <c r="F34" s="8" t="n">
        <v>0</v>
      </c>
      <c r="G34" s="8" t="n">
        <v>883.38</v>
      </c>
      <c r="H34" s="2" t="n">
        <v>62.13</v>
      </c>
      <c r="I34" s="8" t="n">
        <v>1421.86</v>
      </c>
      <c r="J34" s="8" t="n">
        <v>2305.24</v>
      </c>
      <c r="K34" s="2" t="n">
        <v>2</v>
      </c>
      <c r="L34" s="2" t="n">
        <v>2</v>
      </c>
      <c r="M34" s="2" t="inlineStr">
        <is>
          <t>2026-10-15T05:07:19Z</t>
        </is>
      </c>
      <c r="N34" s="2" t="inlineStr">
        <is>
          <t>2026-10-15T05:21:40Z</t>
        </is>
      </c>
      <c r="O34" s="2" t="n">
        <v>862</v>
      </c>
      <c r="P34" s="2" t="n">
        <v>0</v>
      </c>
      <c r="Q34" s="8" t="n">
        <v>0</v>
      </c>
      <c r="R34" s="8" t="n">
        <v>-9146.809999999999</v>
      </c>
      <c r="S34" s="2" t="n">
        <v>446</v>
      </c>
      <c r="T34" s="2" t="n">
        <v>115</v>
      </c>
    </row>
    <row r="35">
      <c r="A35" s="2" t="n">
        <v>34</v>
      </c>
      <c r="B35" s="2" t="inlineStr">
        <is>
          <t>x2zQL7mx6YFuw31gsWJySDfoYjz9YPU6wXMTzuWkuHU</t>
        </is>
      </c>
      <c r="C35" s="2" t="inlineStr">
        <is>
          <t>axiom</t>
        </is>
      </c>
      <c r="E35" s="8" t="n">
        <v>867.83</v>
      </c>
      <c r="F35" s="8" t="n">
        <v>0</v>
      </c>
      <c r="G35" s="8" t="n">
        <v>867.83</v>
      </c>
      <c r="H35" s="2" t="n">
        <v>115.55</v>
      </c>
      <c r="I35" s="8" t="n">
        <v>751.02</v>
      </c>
      <c r="J35" s="8" t="n">
        <v>1618.85</v>
      </c>
      <c r="K35" s="2" t="n">
        <v>14</v>
      </c>
      <c r="L35" s="2" t="n">
        <v>17</v>
      </c>
      <c r="M35" s="2" t="inlineStr">
        <is>
          <t>2026-10-15T05:02:49Z</t>
        </is>
      </c>
      <c r="N35" s="2" t="inlineStr">
        <is>
          <t>2026-10-15T05:40:50Z</t>
        </is>
      </c>
      <c r="O35" s="2" t="n">
        <v>2281</v>
      </c>
      <c r="P35" s="2" t="n">
        <v>0</v>
      </c>
      <c r="Q35" s="8" t="n">
        <v>0</v>
      </c>
      <c r="R35" s="8" t="n">
        <v>31688.28</v>
      </c>
      <c r="S35" s="2" t="n">
        <v>5099</v>
      </c>
      <c r="T35" s="2" t="n">
        <v>874</v>
      </c>
    </row>
    <row r="36">
      <c r="A36" s="2" t="n">
        <v>35</v>
      </c>
      <c r="B36" s="2" t="inlineStr">
        <is>
          <t>BB1x5SKrqBmKk6PvwTtBi6J7knjVmTjXXp7azj6eTGRu</t>
        </is>
      </c>
      <c r="C36" s="2" t="inlineStr">
        <is>
          <t>axiom</t>
        </is>
      </c>
      <c r="E36" s="8" t="n">
        <v>860.4299999999999</v>
      </c>
      <c r="F36" s="8" t="n">
        <v>0</v>
      </c>
      <c r="G36" s="8" t="n">
        <v>860.4299999999999</v>
      </c>
      <c r="H36" s="2" t="n">
        <v>169.76</v>
      </c>
      <c r="I36" s="8" t="n">
        <v>506.85</v>
      </c>
      <c r="J36" s="8" t="n">
        <v>1367.28</v>
      </c>
      <c r="K36" s="2" t="n">
        <v>1</v>
      </c>
      <c r="L36" s="2" t="n">
        <v>13</v>
      </c>
      <c r="M36" s="2" t="inlineStr">
        <is>
          <t>2026-10-15T05:05:04Z</t>
        </is>
      </c>
      <c r="N36" s="2" t="inlineStr">
        <is>
          <t>2026-10-15T05:12:53Z</t>
        </is>
      </c>
      <c r="O36" s="2" t="n">
        <v>468</v>
      </c>
      <c r="P36" s="2" t="n">
        <v>0</v>
      </c>
      <c r="Q36" s="8" t="n">
        <v>0</v>
      </c>
      <c r="R36" s="8" t="n">
        <v>33748.8</v>
      </c>
      <c r="S36" s="2" t="n">
        <v>4187</v>
      </c>
      <c r="T36" s="2" t="n">
        <v>1186</v>
      </c>
    </row>
    <row r="37">
      <c r="A37" s="2" t="n">
        <v>36</v>
      </c>
      <c r="B37" s="2" t="inlineStr">
        <is>
          <t>39q2g5tTQn9n7KnuapzwS2smSx3NGYqBoea11tBjsGEt</t>
        </is>
      </c>
      <c r="C37" s="2" t="inlineStr">
        <is>
          <t>kol;gmgn;photon</t>
        </is>
      </c>
      <c r="D37" s="2" t="inlineStr">
        <is>
          <t>Walta</t>
        </is>
      </c>
      <c r="E37" s="8" t="n">
        <v>846.26</v>
      </c>
      <c r="F37" s="8" t="n">
        <v>0</v>
      </c>
      <c r="G37" s="8" t="n">
        <v>846.26</v>
      </c>
      <c r="H37" s="2" t="n">
        <v>83.08</v>
      </c>
      <c r="I37" s="8" t="n">
        <v>1018.67</v>
      </c>
      <c r="J37" s="8" t="n">
        <v>1864.92</v>
      </c>
      <c r="K37" s="2" t="n">
        <v>2</v>
      </c>
      <c r="L37" s="2" t="n">
        <v>3</v>
      </c>
      <c r="M37" s="2" t="inlineStr">
        <is>
          <t>2026-10-15T05:10:37Z</t>
        </is>
      </c>
      <c r="N37" s="2" t="inlineStr">
        <is>
          <t>2026-10-15T05:18:59Z</t>
        </is>
      </c>
      <c r="O37" s="2" t="n">
        <v>502</v>
      </c>
      <c r="P37" s="2" t="n">
        <v>0</v>
      </c>
      <c r="Q37" s="8" t="n">
        <v>0</v>
      </c>
      <c r="R37" s="8" t="n">
        <v>743750.3199999999</v>
      </c>
      <c r="S37" s="2" t="n">
        <v>26059</v>
      </c>
      <c r="T37" s="2" t="n">
        <v>6429</v>
      </c>
    </row>
    <row r="38">
      <c r="A38" s="2" t="n">
        <v>37</v>
      </c>
      <c r="B38" s="2" t="inlineStr">
        <is>
          <t>3muYDxhtxKLvBvmwxo2DNVNsjG38LLWMmvhuewvyYPnK</t>
        </is>
      </c>
      <c r="C38" s="2" t="inlineStr">
        <is>
          <t>axiom</t>
        </is>
      </c>
      <c r="E38" s="8" t="n">
        <v>839.02</v>
      </c>
      <c r="F38" s="8" t="n">
        <v>0</v>
      </c>
      <c r="G38" s="8" t="n">
        <v>839.02</v>
      </c>
      <c r="H38" s="2" t="n">
        <v>165.68</v>
      </c>
      <c r="I38" s="8" t="n">
        <v>506.42</v>
      </c>
      <c r="J38" s="8" t="n">
        <v>1345.45</v>
      </c>
      <c r="K38" s="2" t="n">
        <v>1</v>
      </c>
      <c r="L38" s="2" t="n">
        <v>6</v>
      </c>
      <c r="M38" s="2" t="inlineStr">
        <is>
          <t>2026-10-15T05:05:04Z</t>
        </is>
      </c>
      <c r="N38" s="2" t="inlineStr">
        <is>
          <t>2026-10-15T05:12:23Z</t>
        </is>
      </c>
      <c r="O38" s="2" t="n">
        <v>438</v>
      </c>
      <c r="P38" s="2" t="n">
        <v>0</v>
      </c>
      <c r="Q38" s="8" t="n">
        <v>0</v>
      </c>
      <c r="R38" s="8" t="n">
        <v>17750.29</v>
      </c>
      <c r="S38" s="2" t="n">
        <v>4156</v>
      </c>
      <c r="T38" s="2" t="n">
        <v>1201</v>
      </c>
    </row>
    <row r="39">
      <c r="A39" s="2" t="n">
        <v>38</v>
      </c>
      <c r="B39" s="2" t="inlineStr">
        <is>
          <t>8WKJJeDBrK8TPtqZXTXXqbsJV6UoXZx9UQBrPf1QqUvG</t>
        </is>
      </c>
      <c r="C39" s="2" t="inlineStr">
        <is>
          <t>axiom;photon</t>
        </is>
      </c>
      <c r="E39" s="8" t="n">
        <v>822.53</v>
      </c>
      <c r="F39" s="8" t="n">
        <v>0</v>
      </c>
      <c r="G39" s="8" t="n">
        <v>822.53</v>
      </c>
      <c r="H39" s="2" t="n">
        <v>201.3</v>
      </c>
      <c r="I39" s="8" t="n">
        <v>408.61</v>
      </c>
      <c r="J39" s="8" t="n">
        <v>1231.14</v>
      </c>
      <c r="K39" s="2" t="n">
        <v>2</v>
      </c>
      <c r="L39" s="2" t="n">
        <v>5</v>
      </c>
      <c r="M39" s="2" t="inlineStr">
        <is>
          <t>2026-10-15T05:08:01Z</t>
        </is>
      </c>
      <c r="N39" s="2" t="inlineStr">
        <is>
          <t>2026-10-15T05:15:08Z</t>
        </is>
      </c>
      <c r="O39" s="2" t="n">
        <v>427</v>
      </c>
      <c r="P39" s="2" t="n">
        <v>0</v>
      </c>
      <c r="Q39" s="8" t="n">
        <v>0</v>
      </c>
      <c r="R39" s="8" t="n">
        <v>150143.56</v>
      </c>
      <c r="S39" s="2" t="n">
        <v>2390</v>
      </c>
      <c r="T39" s="2" t="n">
        <v>794</v>
      </c>
    </row>
    <row r="40">
      <c r="A40" s="2" t="n">
        <v>39</v>
      </c>
      <c r="B40" s="2" t="inlineStr">
        <is>
          <t>CTVa2f63dtzf3tx7NBPe3bhV2a5SYm5UiyYSQmV3DDBD</t>
        </is>
      </c>
      <c r="C40" s="2" t="inlineStr">
        <is>
          <t>fomo</t>
        </is>
      </c>
      <c r="D40" s="2" t="inlineStr">
        <is>
          <t>///Steki🧲</t>
        </is>
      </c>
      <c r="E40" s="8" t="n">
        <v>786.29</v>
      </c>
      <c r="F40" s="8" t="n">
        <v>0</v>
      </c>
      <c r="G40" s="8" t="n">
        <v>786.29</v>
      </c>
      <c r="H40" s="2" t="n">
        <v>39.37</v>
      </c>
      <c r="I40" s="8" t="n">
        <v>1997.01</v>
      </c>
      <c r="J40" s="8" t="n">
        <v>2783.3</v>
      </c>
      <c r="K40" s="2" t="n">
        <v>1</v>
      </c>
      <c r="L40" s="2" t="n">
        <v>3</v>
      </c>
      <c r="M40" s="2" t="inlineStr">
        <is>
          <t>2026-10-15T05:12:59Z</t>
        </is>
      </c>
      <c r="N40" s="2" t="inlineStr">
        <is>
          <t>2026-10-15T05:34:38Z</t>
        </is>
      </c>
      <c r="O40" s="2" t="n">
        <v>1300</v>
      </c>
      <c r="P40" s="2" t="n">
        <v>0</v>
      </c>
      <c r="Q40" s="8" t="n">
        <v>0</v>
      </c>
      <c r="R40" s="8" t="n">
        <v>10644.3</v>
      </c>
      <c r="S40" s="2" t="n">
        <v>642</v>
      </c>
      <c r="T40" s="2" t="n">
        <v>134</v>
      </c>
    </row>
    <row r="41">
      <c r="A41" s="2" t="n">
        <v>40</v>
      </c>
      <c r="B41" s="2" t="inlineStr">
        <is>
          <t>3L8RAxLkvwkz4CgHivaVRtq19741FAdGLk5DgjRfc1fW</t>
        </is>
      </c>
      <c r="C41" s="2" t="inlineStr">
        <is>
          <t>kol;terminal;axiom;bloom;sns</t>
        </is>
      </c>
      <c r="D41" s="2" t="inlineStr">
        <is>
          <t>Inquixit</t>
        </is>
      </c>
      <c r="E41" s="8" t="n">
        <v>780.84</v>
      </c>
      <c r="F41" s="8" t="n">
        <v>0</v>
      </c>
      <c r="G41" s="8" t="n">
        <v>780.84</v>
      </c>
      <c r="H41" s="2" t="n">
        <v>104.2</v>
      </c>
      <c r="I41" s="8" t="n">
        <v>749.33</v>
      </c>
      <c r="J41" s="8" t="n">
        <v>1530.18</v>
      </c>
      <c r="K41" s="2" t="n">
        <v>14</v>
      </c>
      <c r="L41" s="2" t="n">
        <v>17</v>
      </c>
      <c r="M41" s="2" t="inlineStr">
        <is>
          <t>2026-10-15T05:02:49Z</t>
        </is>
      </c>
      <c r="N41" s="2" t="inlineStr">
        <is>
          <t>2026-10-15T05:40:50Z</t>
        </is>
      </c>
      <c r="O41" s="2" t="n">
        <v>2281</v>
      </c>
      <c r="P41" s="2" t="n">
        <v>0</v>
      </c>
      <c r="Q41" s="8" t="n">
        <v>0</v>
      </c>
      <c r="R41" s="8" t="n">
        <v>182238.97</v>
      </c>
      <c r="S41" s="2" t="n">
        <v>23421</v>
      </c>
      <c r="T41" s="2" t="n">
        <v>4404</v>
      </c>
    </row>
    <row r="42">
      <c r="A42" s="2" t="n">
        <v>41</v>
      </c>
      <c r="B42" s="2" t="inlineStr">
        <is>
          <t>gangJEP5geDHjPVRhDS5dTF5e6GtRvtNogMEEVs91RV</t>
        </is>
      </c>
      <c r="C42" s="2" t="inlineStr">
        <is>
          <t>kol;terminal;axiom;pumpfun-app</t>
        </is>
      </c>
      <c r="D42" s="2" t="inlineStr">
        <is>
          <t>Qavec</t>
        </is>
      </c>
      <c r="E42" s="8" t="n">
        <v>770.6799999999999</v>
      </c>
      <c r="F42" s="8" t="n">
        <v>0</v>
      </c>
      <c r="G42" s="8" t="n">
        <v>770.6799999999999</v>
      </c>
      <c r="H42" s="2" t="n">
        <v>420.56</v>
      </c>
      <c r="I42" s="8" t="n">
        <v>183.25</v>
      </c>
      <c r="J42" s="8" t="n">
        <v>953.9299999999999</v>
      </c>
      <c r="K42" s="2" t="n">
        <v>10</v>
      </c>
      <c r="L42" s="2" t="n">
        <v>8</v>
      </c>
      <c r="M42" s="2" t="inlineStr">
        <is>
          <t>2026-10-15T05:04:01Z</t>
        </is>
      </c>
      <c r="N42" s="2" t="inlineStr">
        <is>
          <t>2026-10-15T05:07:32Z</t>
        </is>
      </c>
      <c r="O42" s="2" t="n">
        <v>211</v>
      </c>
      <c r="P42" s="2" t="n">
        <v>0</v>
      </c>
      <c r="Q42" s="8" t="n">
        <v>0</v>
      </c>
      <c r="R42" s="8" t="n">
        <v>573503.8199999999</v>
      </c>
      <c r="S42" s="2" t="n">
        <v>128106</v>
      </c>
      <c r="T42" s="2" t="n">
        <v>22141</v>
      </c>
    </row>
    <row r="43">
      <c r="A43" s="2" t="n">
        <v>42</v>
      </c>
      <c r="B43" s="2" t="inlineStr">
        <is>
          <t>5aLY85pyxiuX3fd4RgM3Yc1e3MAL6b7UgaZz6MS3JUfG</t>
        </is>
      </c>
      <c r="E43" s="8" t="n">
        <v>740.84</v>
      </c>
      <c r="F43" s="8" t="n">
        <v>0</v>
      </c>
      <c r="G43" s="8" t="n">
        <v>740.84</v>
      </c>
      <c r="H43" s="2" t="n">
        <v>18.53</v>
      </c>
      <c r="I43" s="8" t="n">
        <v>3998.56</v>
      </c>
      <c r="J43" s="8" t="n">
        <v>4739.4</v>
      </c>
      <c r="K43" s="2" t="n">
        <v>14</v>
      </c>
      <c r="L43" s="2" t="n">
        <v>14</v>
      </c>
      <c r="M43" s="2" t="inlineStr">
        <is>
          <t>2026-10-15T05:05:19Z</t>
        </is>
      </c>
      <c r="N43" s="2" t="inlineStr">
        <is>
          <t>2026-10-15T06:02:43Z</t>
        </is>
      </c>
      <c r="O43" s="2" t="n">
        <v>3443</v>
      </c>
      <c r="P43" s="2" t="n">
        <v>0</v>
      </c>
      <c r="Q43" s="8" t="n">
        <v>0</v>
      </c>
      <c r="R43" s="8" t="n">
        <v>3390262.96</v>
      </c>
      <c r="S43" s="2" t="n">
        <v>1244014</v>
      </c>
      <c r="T43" s="2" t="n">
        <v>49499</v>
      </c>
    </row>
    <row r="44">
      <c r="A44" s="2" t="n">
        <v>43</v>
      </c>
      <c r="B44" s="2" t="inlineStr">
        <is>
          <t>AHwQ8ytXEXW7NSP2EFuQSFkbNK85dMJrfuRdRPt45qri</t>
        </is>
      </c>
      <c r="C44" s="2" t="inlineStr">
        <is>
          <t>axiom</t>
        </is>
      </c>
      <c r="E44" s="8" t="n">
        <v>729.83</v>
      </c>
      <c r="F44" s="8" t="n">
        <v>0</v>
      </c>
      <c r="G44" s="8" t="n">
        <v>729.83</v>
      </c>
      <c r="H44" s="2" t="n">
        <v>21.85</v>
      </c>
      <c r="I44" s="8" t="n">
        <v>3339.51</v>
      </c>
      <c r="J44" s="8" t="n">
        <v>4069.34</v>
      </c>
      <c r="K44" s="2" t="n">
        <v>8</v>
      </c>
      <c r="L44" s="2" t="n">
        <v>10</v>
      </c>
      <c r="M44" s="2" t="inlineStr">
        <is>
          <t>2026-10-15T05:08:21Z</t>
        </is>
      </c>
      <c r="N44" s="2" t="inlineStr">
        <is>
          <t>2026-10-15T05:46:50Z</t>
        </is>
      </c>
      <c r="O44" s="2" t="n">
        <v>2309</v>
      </c>
      <c r="P44" s="2" t="n">
        <v>0</v>
      </c>
      <c r="Q44" s="8" t="n">
        <v>0</v>
      </c>
      <c r="R44" s="8" t="n">
        <v>5881.64</v>
      </c>
      <c r="S44" s="2" t="n">
        <v>4215</v>
      </c>
      <c r="T44" s="2" t="n">
        <v>890</v>
      </c>
    </row>
    <row r="45">
      <c r="A45" s="2" t="n">
        <v>44</v>
      </c>
      <c r="B45" s="2" t="inlineStr">
        <is>
          <t>A6cjgEcg5zyBn93hsKKHeFP7j5D86BVpN2Nuz81Y71gX</t>
        </is>
      </c>
      <c r="E45" s="8" t="n">
        <v>706.38</v>
      </c>
      <c r="F45" s="8" t="n">
        <v>0</v>
      </c>
      <c r="G45" s="8" t="n">
        <v>706.38</v>
      </c>
      <c r="H45" s="2" t="n">
        <v>0</v>
      </c>
      <c r="I45" s="8" t="n">
        <v>0</v>
      </c>
      <c r="J45" s="8" t="n">
        <v>706.38</v>
      </c>
      <c r="K45" s="2" t="n">
        <v>0</v>
      </c>
      <c r="L45" s="2" t="n">
        <v>2</v>
      </c>
      <c r="M45" s="2" t="inlineStr">
        <is>
          <t>2026-10-15T05:41:19Z</t>
        </is>
      </c>
      <c r="N45" s="2" t="inlineStr">
        <is>
          <t>2026-10-15T05:50:49Z</t>
        </is>
      </c>
      <c r="P45" s="2" t="n">
        <v>0</v>
      </c>
      <c r="Q45" s="8" t="n">
        <v>0</v>
      </c>
      <c r="R45" s="8" t="n">
        <v>31707.83</v>
      </c>
      <c r="S45" s="2" t="n">
        <v>319</v>
      </c>
      <c r="T45" s="2" t="n">
        <v>138</v>
      </c>
    </row>
    <row r="46">
      <c r="A46" s="2" t="n">
        <v>45</v>
      </c>
      <c r="B46" s="2" t="inlineStr">
        <is>
          <t>EAc26Jr5yVNFXYbzsAYJj59J4Z1k9jEnd4B2jC7ta6pB</t>
        </is>
      </c>
      <c r="C46" s="2" t="inlineStr">
        <is>
          <t>axiom</t>
        </is>
      </c>
      <c r="E46" s="8" t="n">
        <v>703.85</v>
      </c>
      <c r="F46" s="8" t="n">
        <v>2223.29</v>
      </c>
      <c r="G46" s="8" t="n">
        <v>2927.13</v>
      </c>
      <c r="H46" s="2" t="n">
        <v>287.45</v>
      </c>
      <c r="I46" s="8" t="n">
        <v>1018.3</v>
      </c>
      <c r="J46" s="8" t="n">
        <v>933.95</v>
      </c>
      <c r="K46" s="2" t="n">
        <v>2</v>
      </c>
      <c r="L46" s="2" t="n">
        <v>4</v>
      </c>
      <c r="M46" s="2" t="inlineStr">
        <is>
          <t>2026-10-15T05:05:57Z</t>
        </is>
      </c>
      <c r="N46" s="2" t="inlineStr">
        <is>
          <t>2026-10-15T06:20:31Z</t>
        </is>
      </c>
      <c r="O46" s="2" t="n">
        <v>4802</v>
      </c>
      <c r="P46" s="2" t="n">
        <v>12295131.361677</v>
      </c>
      <c r="Q46" s="8" t="n">
        <v>3011.48</v>
      </c>
      <c r="R46" s="8" t="n">
        <v>6251.5</v>
      </c>
      <c r="S46" s="2" t="n">
        <v>2332</v>
      </c>
      <c r="T46" s="2" t="n">
        <v>780</v>
      </c>
    </row>
    <row r="47">
      <c r="A47" s="2" t="n">
        <v>46</v>
      </c>
      <c r="B47" s="2" t="inlineStr">
        <is>
          <t>8VFMdX5fhE7Azg2zZHyPR73Bd9x1vVEf3AjbaBziuvCu</t>
        </is>
      </c>
      <c r="C47" s="2" t="inlineStr">
        <is>
          <t>terminal</t>
        </is>
      </c>
      <c r="E47" s="8" t="n">
        <v>703.14</v>
      </c>
      <c r="F47" s="8" t="n">
        <v>0</v>
      </c>
      <c r="G47" s="8" t="n">
        <v>703.14</v>
      </c>
      <c r="H47" s="2" t="n">
        <v>0</v>
      </c>
      <c r="I47" s="8" t="n">
        <v>0</v>
      </c>
      <c r="J47" s="8" t="n">
        <v>703.14</v>
      </c>
      <c r="K47" s="2" t="n">
        <v>0</v>
      </c>
      <c r="L47" s="2" t="n">
        <v>1</v>
      </c>
      <c r="M47" s="2" t="inlineStr">
        <is>
          <t>2026-10-15T05:37:28Z</t>
        </is>
      </c>
      <c r="N47" s="2" t="inlineStr">
        <is>
          <t>2026-10-15T05:37:28Z</t>
        </is>
      </c>
      <c r="P47" s="2" t="n">
        <v>0</v>
      </c>
      <c r="Q47" s="8" t="n">
        <v>0</v>
      </c>
      <c r="R47" s="8" t="n">
        <v>17941.39</v>
      </c>
      <c r="S47" s="2" t="n">
        <v>66</v>
      </c>
      <c r="T47" s="2" t="n">
        <v>38</v>
      </c>
    </row>
    <row r="48">
      <c r="A48" s="2" t="n">
        <v>47</v>
      </c>
      <c r="B48" s="2" t="inlineStr">
        <is>
          <t>5h857RqmgcSjf2yz6E9Jh2zga5RaYTKzm1yK4uSnKD7n</t>
        </is>
      </c>
      <c r="C48" s="2" t="inlineStr">
        <is>
          <t>axiom</t>
        </is>
      </c>
      <c r="E48" s="8" t="n">
        <v>687.1</v>
      </c>
      <c r="F48" s="8" t="n">
        <v>0</v>
      </c>
      <c r="G48" s="8" t="n">
        <v>687.1</v>
      </c>
      <c r="H48" s="2" t="n">
        <v>64.19</v>
      </c>
      <c r="I48" s="8" t="n">
        <v>1070.41</v>
      </c>
      <c r="J48" s="8" t="n">
        <v>1757.51</v>
      </c>
      <c r="K48" s="2" t="n">
        <v>5</v>
      </c>
      <c r="L48" s="2" t="n">
        <v>6</v>
      </c>
      <c r="M48" s="2" t="inlineStr">
        <is>
          <t>2026-10-15T05:00:25Z</t>
        </is>
      </c>
      <c r="N48" s="2" t="inlineStr">
        <is>
          <t>2026-10-15T05:23:52Z</t>
        </is>
      </c>
      <c r="O48" s="2" t="n">
        <v>1407</v>
      </c>
      <c r="P48" s="2" t="n">
        <v>0</v>
      </c>
      <c r="Q48" s="8" t="n">
        <v>0</v>
      </c>
      <c r="R48" s="8" t="n">
        <v>35117.77</v>
      </c>
      <c r="S48" s="2" t="n">
        <v>10373</v>
      </c>
      <c r="T48" s="2" t="n">
        <v>3375</v>
      </c>
    </row>
    <row r="49">
      <c r="A49" s="2" t="n">
        <v>48</v>
      </c>
      <c r="B49" s="2" t="inlineStr">
        <is>
          <t>9tY7u1HgEt2RDcxym3RJ9sfvT3aZStiiUwXd44X9RUr8</t>
        </is>
      </c>
      <c r="C49" s="2" t="inlineStr">
        <is>
          <t>kol;axiom</t>
        </is>
      </c>
      <c r="D49" s="2" t="inlineStr">
        <is>
          <t>Solana degen</t>
        </is>
      </c>
      <c r="E49" s="8" t="n">
        <v>684.11</v>
      </c>
      <c r="F49" s="8" t="n">
        <v>0</v>
      </c>
      <c r="G49" s="8" t="n">
        <v>684.11</v>
      </c>
      <c r="H49" s="2" t="n">
        <v>74.63</v>
      </c>
      <c r="I49" s="8" t="n">
        <v>916.7</v>
      </c>
      <c r="J49" s="8" t="n">
        <v>1600.82</v>
      </c>
      <c r="K49" s="2" t="n">
        <v>21</v>
      </c>
      <c r="L49" s="2" t="n">
        <v>19</v>
      </c>
      <c r="M49" s="2" t="inlineStr">
        <is>
          <t>2026-10-15T05:39:54Z</t>
        </is>
      </c>
      <c r="N49" s="2" t="inlineStr">
        <is>
          <t>2026-10-15T05:42:37Z</t>
        </is>
      </c>
      <c r="O49" s="2" t="n">
        <v>163</v>
      </c>
      <c r="P49" s="2" t="n">
        <v>0</v>
      </c>
      <c r="Q49" s="8" t="n">
        <v>0</v>
      </c>
      <c r="R49" s="8" t="n">
        <v>364045.78</v>
      </c>
      <c r="S49" s="2" t="n">
        <v>157954</v>
      </c>
      <c r="T49" s="2" t="n">
        <v>5933</v>
      </c>
    </row>
    <row r="50">
      <c r="A50" s="2" t="n">
        <v>49</v>
      </c>
      <c r="B50" s="2" t="inlineStr">
        <is>
          <t>HP2ZzCnMP8NKFngqtpjvt6qR5YRDm3c3rubbAUvQMsqL</t>
        </is>
      </c>
      <c r="C50" s="2" t="inlineStr">
        <is>
          <t>axiom;fomo</t>
        </is>
      </c>
      <c r="D50" s="2" t="inlineStr">
        <is>
          <t>fomo-user</t>
        </is>
      </c>
      <c r="E50" s="8" t="n">
        <v>668.8200000000001</v>
      </c>
      <c r="F50" s="8" t="n">
        <v>0</v>
      </c>
      <c r="G50" s="8" t="n">
        <v>668.8200000000001</v>
      </c>
      <c r="H50" s="2" t="n">
        <v>134.16</v>
      </c>
      <c r="I50" s="8" t="n">
        <v>498.5</v>
      </c>
      <c r="J50" s="8" t="n">
        <v>1167.32</v>
      </c>
      <c r="K50" s="2" t="n">
        <v>1</v>
      </c>
      <c r="L50" s="2" t="n">
        <v>2</v>
      </c>
      <c r="M50" s="2" t="inlineStr">
        <is>
          <t>2026-10-15T05:07:12Z</t>
        </is>
      </c>
      <c r="N50" s="2" t="inlineStr">
        <is>
          <t>2026-10-15T05:14:41Z</t>
        </is>
      </c>
      <c r="O50" s="2" t="n">
        <v>449</v>
      </c>
      <c r="P50" s="2" t="n">
        <v>0</v>
      </c>
      <c r="Q50" s="8" t="n">
        <v>0</v>
      </c>
      <c r="R50" s="8" t="n">
        <v>35133.4</v>
      </c>
      <c r="S50" s="2" t="n">
        <v>537</v>
      </c>
      <c r="T50" s="2" t="n">
        <v>207</v>
      </c>
    </row>
    <row r="51">
      <c r="A51" s="2" t="n">
        <v>50</v>
      </c>
      <c r="B51" s="2" t="inlineStr">
        <is>
          <t>CABgtkGrBFDs7fU8zCBog1RnrVC5VhTN7LeRyVrVSMW1</t>
        </is>
      </c>
      <c r="C51" s="2" t="inlineStr">
        <is>
          <t>axiom</t>
        </is>
      </c>
      <c r="E51" s="8" t="n">
        <v>668.03</v>
      </c>
      <c r="F51" s="8" t="n">
        <v>0</v>
      </c>
      <c r="G51" s="8" t="n">
        <v>668.03</v>
      </c>
      <c r="H51" s="2" t="n">
        <v>328.09</v>
      </c>
      <c r="I51" s="8" t="n">
        <v>203.62</v>
      </c>
      <c r="J51" s="8" t="n">
        <v>871.65</v>
      </c>
      <c r="K51" s="2" t="n">
        <v>9</v>
      </c>
      <c r="L51" s="2" t="n">
        <v>37</v>
      </c>
      <c r="M51" s="2" t="inlineStr">
        <is>
          <t>2026-10-15T04:58:38Z</t>
        </is>
      </c>
      <c r="N51" s="2" t="inlineStr">
        <is>
          <t>2026-10-15T05:19:50Z</t>
        </is>
      </c>
      <c r="O51" s="2" t="n">
        <v>1272</v>
      </c>
      <c r="P51" s="2" t="n">
        <v>0</v>
      </c>
      <c r="Q51" s="8" t="n">
        <v>0</v>
      </c>
      <c r="R51" s="8" t="n">
        <v>13979.68</v>
      </c>
      <c r="S51" s="2" t="n">
        <v>3087</v>
      </c>
      <c r="T51" s="2" t="n">
        <v>612</v>
      </c>
    </row>
    <row r="52">
      <c r="A52" s="2" t="n">
        <v>51</v>
      </c>
      <c r="B52" s="2" t="inlineStr">
        <is>
          <t>7y5aRdzh5ZBYDhM4qKBwXzUUjKBSBperbrgWiE7AoAHG</t>
        </is>
      </c>
      <c r="E52" s="8" t="n">
        <v>647.58</v>
      </c>
      <c r="F52" s="8" t="n">
        <v>0</v>
      </c>
      <c r="G52" s="8" t="n">
        <v>647.58</v>
      </c>
      <c r="H52" s="2" t="n">
        <v>4.95</v>
      </c>
      <c r="I52" s="8" t="n">
        <v>13082.09</v>
      </c>
      <c r="J52" s="8" t="n">
        <v>11539.81</v>
      </c>
      <c r="K52" s="2" t="n">
        <v>177</v>
      </c>
      <c r="L52" s="2" t="n">
        <v>160</v>
      </c>
      <c r="M52" s="2" t="inlineStr">
        <is>
          <t>2026-10-15T05:05:25Z</t>
        </is>
      </c>
      <c r="N52" s="2" t="inlineStr">
        <is>
          <t>2026-10-15T06:02:17Z</t>
        </is>
      </c>
      <c r="O52" s="2" t="n">
        <v>3411</v>
      </c>
      <c r="P52" s="2" t="n">
        <v>0</v>
      </c>
      <c r="Q52" s="8" t="n">
        <v>0</v>
      </c>
      <c r="R52" s="8" t="n">
        <v>316541.71</v>
      </c>
      <c r="S52" s="2" t="n">
        <v>225254</v>
      </c>
      <c r="T52" s="2" t="n">
        <v>5162</v>
      </c>
    </row>
    <row r="53">
      <c r="A53" s="2" t="n">
        <v>52</v>
      </c>
      <c r="B53" s="2" t="inlineStr">
        <is>
          <t>6MkqQcHN2oWGPDzA5dz8bnsGKvjHtWPd1tunZqgLLWMa</t>
        </is>
      </c>
      <c r="C53" s="2" t="inlineStr">
        <is>
          <t>axiom;fomo</t>
        </is>
      </c>
      <c r="D53" s="2" t="inlineStr">
        <is>
          <t>fauni</t>
        </is>
      </c>
      <c r="E53" s="8" t="n">
        <v>634.12</v>
      </c>
      <c r="F53" s="8" t="n">
        <v>1242.61</v>
      </c>
      <c r="G53" s="8" t="n">
        <v>1876.74</v>
      </c>
      <c r="H53" s="2" t="n">
        <v>105.7</v>
      </c>
      <c r="I53" s="8" t="n">
        <v>1775.6</v>
      </c>
      <c r="J53" s="8" t="n">
        <v>1134.31</v>
      </c>
      <c r="K53" s="2" t="n">
        <v>7</v>
      </c>
      <c r="L53" s="2" t="n">
        <v>1</v>
      </c>
      <c r="M53" s="2" t="inlineStr">
        <is>
          <t>2026-10-15T05:12:32Z</t>
        </is>
      </c>
      <c r="N53" s="2" t="inlineStr">
        <is>
          <t>2026-10-15T05:45:21Z</t>
        </is>
      </c>
      <c r="O53" s="2" t="n">
        <v>4407</v>
      </c>
      <c r="P53" s="2" t="n">
        <v>10280496.005691</v>
      </c>
      <c r="Q53" s="8" t="n">
        <v>2518.03</v>
      </c>
      <c r="R53" s="8" t="n">
        <v>71314.91</v>
      </c>
      <c r="S53" s="2" t="n">
        <v>5790</v>
      </c>
      <c r="T53" s="2" t="n">
        <v>1165</v>
      </c>
    </row>
    <row r="54">
      <c r="A54" s="2" t="n">
        <v>53</v>
      </c>
      <c r="B54" s="2" t="inlineStr">
        <is>
          <t>6n6cYoZbfnHgJfvhyJ56tq7Zk8E7iN3PiyTGCu57LgL2</t>
        </is>
      </c>
      <c r="C54" s="2" t="inlineStr">
        <is>
          <t>axiom</t>
        </is>
      </c>
      <c r="E54" s="8" t="n">
        <v>631.3200000000001</v>
      </c>
      <c r="F54" s="8" t="n">
        <v>0</v>
      </c>
      <c r="G54" s="8" t="n">
        <v>631.3200000000001</v>
      </c>
      <c r="H54" s="2" t="n">
        <v>42.54</v>
      </c>
      <c r="I54" s="8" t="n">
        <v>1484.24</v>
      </c>
      <c r="J54" s="8" t="n">
        <v>2115.57</v>
      </c>
      <c r="K54" s="2" t="n">
        <v>13</v>
      </c>
      <c r="L54" s="2" t="n">
        <v>34</v>
      </c>
      <c r="M54" s="2" t="inlineStr">
        <is>
          <t>2026-10-15T05:05:04Z</t>
        </is>
      </c>
      <c r="N54" s="2" t="inlineStr">
        <is>
          <t>2026-10-15T05:48:23Z</t>
        </is>
      </c>
      <c r="O54" s="2" t="n">
        <v>2598</v>
      </c>
      <c r="P54" s="2" t="n">
        <v>0</v>
      </c>
      <c r="Q54" s="8" t="n">
        <v>0</v>
      </c>
      <c r="R54" s="8" t="n">
        <v>1929.3</v>
      </c>
      <c r="S54" s="2" t="n">
        <v>2860</v>
      </c>
      <c r="T54" s="2" t="n">
        <v>291</v>
      </c>
    </row>
    <row r="55">
      <c r="A55" s="2" t="n">
        <v>54</v>
      </c>
      <c r="B55" s="2" t="inlineStr">
        <is>
          <t>3UK7T6LtFxSycQfKQDd7A69pwYwmjZWB5XaRGX59zhNo</t>
        </is>
      </c>
      <c r="C55" s="2" t="inlineStr">
        <is>
          <t>axiom</t>
        </is>
      </c>
      <c r="E55" s="8" t="n">
        <v>630.6</v>
      </c>
      <c r="F55" s="8" t="n">
        <v>0</v>
      </c>
      <c r="G55" s="8" t="n">
        <v>630.6</v>
      </c>
      <c r="H55" s="2" t="n">
        <v>124.31</v>
      </c>
      <c r="I55" s="8" t="n">
        <v>507.28</v>
      </c>
      <c r="J55" s="8" t="n">
        <v>1137.87</v>
      </c>
      <c r="K55" s="2" t="n">
        <v>1</v>
      </c>
      <c r="L55" s="2" t="n">
        <v>4</v>
      </c>
      <c r="M55" s="2" t="inlineStr">
        <is>
          <t>2026-10-15T05:17:18Z</t>
        </is>
      </c>
      <c r="N55" s="2" t="inlineStr">
        <is>
          <t>2026-10-15T05:25:14Z</t>
        </is>
      </c>
      <c r="O55" s="2" t="n">
        <v>476</v>
      </c>
      <c r="P55" s="2" t="n">
        <v>0</v>
      </c>
      <c r="Q55" s="8" t="n">
        <v>0</v>
      </c>
      <c r="R55" s="8" t="n">
        <v>889.5599999999999</v>
      </c>
      <c r="S55" s="2" t="n">
        <v>158</v>
      </c>
      <c r="T55" s="2" t="n">
        <v>45</v>
      </c>
    </row>
    <row r="56">
      <c r="A56" s="2" t="n">
        <v>55</v>
      </c>
      <c r="B56" s="2" t="inlineStr">
        <is>
          <t>B5NtdZhwE5irJJigz5frVja7iDy1PDzsre9ii6mY697Y</t>
        </is>
      </c>
      <c r="C56" s="2" t="inlineStr">
        <is>
          <t>potential_bot</t>
        </is>
      </c>
      <c r="E56" s="8" t="n">
        <v>626.46</v>
      </c>
      <c r="F56" s="8" t="n">
        <v>0</v>
      </c>
      <c r="G56" s="8" t="n">
        <v>626.46</v>
      </c>
      <c r="H56" s="2" t="n">
        <v>0</v>
      </c>
      <c r="I56" s="8" t="n">
        <v>0</v>
      </c>
      <c r="J56" s="8" t="n">
        <v>626.46</v>
      </c>
      <c r="K56" s="2" t="n">
        <v>0</v>
      </c>
      <c r="L56" s="2" t="n">
        <v>4</v>
      </c>
      <c r="M56" s="2" t="inlineStr">
        <is>
          <t>2026-10-15T05:28:35Z</t>
        </is>
      </c>
      <c r="N56" s="2" t="inlineStr">
        <is>
          <t>2026-10-15T06:22:49Z</t>
        </is>
      </c>
      <c r="P56" s="2" t="n">
        <v>0</v>
      </c>
      <c r="Q56" s="8" t="n">
        <v>0</v>
      </c>
      <c r="R56" s="8" t="n">
        <v>23528.45</v>
      </c>
      <c r="S56" s="2" t="n">
        <v>406</v>
      </c>
      <c r="T56" s="2" t="n">
        <v>292</v>
      </c>
    </row>
    <row r="57">
      <c r="A57" s="2" t="n">
        <v>56</v>
      </c>
      <c r="B57" s="2" t="inlineStr">
        <is>
          <t>CN5Yh3q2t8aEPVmU1CzJPpXbKCUGWFkVcThAystXUBbb</t>
        </is>
      </c>
      <c r="E57" s="8" t="n">
        <v>625.23</v>
      </c>
      <c r="F57" s="8" t="n">
        <v>0</v>
      </c>
      <c r="G57" s="8" t="n">
        <v>625.23</v>
      </c>
      <c r="H57" s="2" t="n">
        <v>0</v>
      </c>
      <c r="I57" s="8" t="n">
        <v>0</v>
      </c>
      <c r="J57" s="8" t="n">
        <v>625.23</v>
      </c>
      <c r="K57" s="2" t="n">
        <v>0</v>
      </c>
      <c r="L57" s="2" t="n">
        <v>5</v>
      </c>
      <c r="M57" s="2" t="inlineStr">
        <is>
          <t>2026-10-15T05:37:19Z</t>
        </is>
      </c>
      <c r="N57" s="2" t="inlineStr">
        <is>
          <t>2026-10-15T06:24:28Z</t>
        </is>
      </c>
      <c r="P57" s="2" t="n">
        <v>0</v>
      </c>
      <c r="Q57" s="8" t="n">
        <v>0</v>
      </c>
      <c r="R57" s="8" t="n">
        <v>8689.379999999999</v>
      </c>
      <c r="S57" s="2" t="n">
        <v>271</v>
      </c>
      <c r="T57" s="2" t="n">
        <v>74</v>
      </c>
    </row>
    <row r="58">
      <c r="A58" s="2" t="n">
        <v>57</v>
      </c>
      <c r="B58" s="2" t="inlineStr">
        <is>
          <t>99uJVmH5msDTC2yfvNiMwLSiFtFkvNxCXmosV1MGnLY</t>
        </is>
      </c>
      <c r="C58" s="2" t="inlineStr">
        <is>
          <t>axiom</t>
        </is>
      </c>
      <c r="E58" s="8" t="n">
        <v>604.96</v>
      </c>
      <c r="F58" s="8" t="n">
        <v>0</v>
      </c>
      <c r="G58" s="8" t="n">
        <v>604.96</v>
      </c>
      <c r="H58" s="2" t="n">
        <v>40.8</v>
      </c>
      <c r="I58" s="8" t="n">
        <v>1482.59</v>
      </c>
      <c r="J58" s="8" t="n">
        <v>2087.54</v>
      </c>
      <c r="K58" s="2" t="n">
        <v>13</v>
      </c>
      <c r="L58" s="2" t="n">
        <v>34</v>
      </c>
      <c r="M58" s="2" t="inlineStr">
        <is>
          <t>2026-10-15T05:05:04Z</t>
        </is>
      </c>
      <c r="N58" s="2" t="inlineStr">
        <is>
          <t>2026-10-15T05:48:23Z</t>
        </is>
      </c>
      <c r="O58" s="2" t="n">
        <v>2598</v>
      </c>
      <c r="P58" s="2" t="n">
        <v>0</v>
      </c>
      <c r="Q58" s="8" t="n">
        <v>0</v>
      </c>
      <c r="R58" s="8" t="n">
        <v>748.48</v>
      </c>
      <c r="S58" s="2" t="n">
        <v>2865</v>
      </c>
      <c r="T58" s="2" t="n">
        <v>292</v>
      </c>
    </row>
    <row r="59">
      <c r="A59" s="2" t="n">
        <v>58</v>
      </c>
      <c r="B59" s="2" t="inlineStr">
        <is>
          <t>B4JjCFtnEw7auYY28x2zkCRHaLCD8JRVnai8nh6taDud</t>
        </is>
      </c>
      <c r="E59" s="8" t="n">
        <v>600.75</v>
      </c>
      <c r="F59" s="8" t="n">
        <v>0</v>
      </c>
      <c r="G59" s="8" t="n">
        <v>600.75</v>
      </c>
      <c r="H59" s="2" t="n">
        <v>46.75</v>
      </c>
      <c r="I59" s="8" t="n">
        <v>1285</v>
      </c>
      <c r="J59" s="8" t="n">
        <v>1885.75</v>
      </c>
      <c r="K59" s="2" t="n">
        <v>4</v>
      </c>
      <c r="L59" s="2" t="n">
        <v>2</v>
      </c>
      <c r="M59" s="2" t="inlineStr">
        <is>
          <t>2026-10-15T05:40:22Z</t>
        </is>
      </c>
      <c r="N59" s="2" t="inlineStr">
        <is>
          <t>2026-10-15T05:58:00Z</t>
        </is>
      </c>
      <c r="O59" s="2" t="n">
        <v>1058</v>
      </c>
      <c r="P59" s="2" t="n">
        <v>0</v>
      </c>
      <c r="Q59" s="8" t="n">
        <v>0</v>
      </c>
      <c r="R59" s="8" t="n">
        <v>6848.61</v>
      </c>
      <c r="S59" s="2" t="n">
        <v>620</v>
      </c>
      <c r="T59" s="2" t="n">
        <v>31</v>
      </c>
    </row>
    <row r="60">
      <c r="A60" s="2" t="n">
        <v>59</v>
      </c>
      <c r="B60" s="2" t="inlineStr">
        <is>
          <t>9bCKedAfVvpPeepsXAdq4DnW82rrLNnwEKv4AUaUHq1L</t>
        </is>
      </c>
      <c r="C60" s="2" t="inlineStr">
        <is>
          <t>pumpfun-app</t>
        </is>
      </c>
      <c r="D60" s="2" t="inlineStr">
        <is>
          <t>November1221</t>
        </is>
      </c>
      <c r="E60" s="8" t="n">
        <v>599.45</v>
      </c>
      <c r="F60" s="8" t="n">
        <v>0</v>
      </c>
      <c r="G60" s="8" t="n">
        <v>599.45</v>
      </c>
      <c r="H60" s="2" t="n">
        <v>176.4</v>
      </c>
      <c r="I60" s="8" t="n">
        <v>339.83</v>
      </c>
      <c r="J60" s="8" t="n">
        <v>939.28</v>
      </c>
      <c r="K60" s="2" t="n">
        <v>3</v>
      </c>
      <c r="L60" s="2" t="n">
        <v>3</v>
      </c>
      <c r="M60" s="2" t="inlineStr">
        <is>
          <t>2026-10-15T05:04:56Z</t>
        </is>
      </c>
      <c r="N60" s="2" t="inlineStr">
        <is>
          <t>2026-10-15T05:34:02Z</t>
        </is>
      </c>
      <c r="O60" s="2" t="n">
        <v>1746</v>
      </c>
      <c r="P60" s="2" t="n">
        <v>0</v>
      </c>
      <c r="Q60" s="8" t="n">
        <v>0</v>
      </c>
      <c r="R60" s="8" t="n">
        <v>6745.54</v>
      </c>
      <c r="S60" s="2" t="n">
        <v>11523</v>
      </c>
      <c r="T60" s="2" t="n">
        <v>2916</v>
      </c>
    </row>
    <row r="61">
      <c r="A61" s="2" t="n">
        <v>60</v>
      </c>
      <c r="B61" s="2" t="inlineStr">
        <is>
          <t>2ryDUcDr36jptBB2MLTyNS9GqrZrmpmLqNpEKASueLcX</t>
        </is>
      </c>
      <c r="C61" s="2" t="inlineStr">
        <is>
          <t>fomo</t>
        </is>
      </c>
      <c r="D61" s="2" t="inlineStr">
        <is>
          <t>MRPOKEMON</t>
        </is>
      </c>
      <c r="E61" s="8" t="n">
        <v>598.28</v>
      </c>
      <c r="F61" s="8" t="n">
        <v>81.06999999999999</v>
      </c>
      <c r="G61" s="8" t="n">
        <v>679.35</v>
      </c>
      <c r="H61" s="2" t="n">
        <v>12.64</v>
      </c>
      <c r="I61" s="8" t="n">
        <v>5373.16</v>
      </c>
      <c r="J61" s="8" t="n">
        <v>4350.51</v>
      </c>
      <c r="K61" s="2" t="n">
        <v>37</v>
      </c>
      <c r="L61" s="2" t="n">
        <v>17</v>
      </c>
      <c r="M61" s="2" t="inlineStr">
        <is>
          <t>2026-10-15T05:45:27Z</t>
        </is>
      </c>
      <c r="N61" s="2" t="inlineStr">
        <is>
          <t>2026-10-15T06:25:35Z</t>
        </is>
      </c>
      <c r="O61" s="2" t="n">
        <v>2433</v>
      </c>
      <c r="P61" s="2" t="n">
        <v>6948854.609437</v>
      </c>
      <c r="Q61" s="8" t="n">
        <v>1702</v>
      </c>
      <c r="R61" s="8" t="n">
        <v>-20119.47</v>
      </c>
      <c r="S61" s="2" t="n">
        <v>433</v>
      </c>
      <c r="T61" s="2" t="n">
        <v>30</v>
      </c>
    </row>
    <row r="62">
      <c r="A62" s="2" t="n">
        <v>61</v>
      </c>
      <c r="B62" s="2" t="inlineStr">
        <is>
          <t>J2GyrXgaqF4Z7kBXd8eAQZ3TSepNkSfDAW24jHuzobcV</t>
        </is>
      </c>
      <c r="C62" s="2" t="inlineStr">
        <is>
          <t>axiom</t>
        </is>
      </c>
      <c r="E62" s="8" t="n">
        <v>586.42</v>
      </c>
      <c r="F62" s="8" t="n">
        <v>0</v>
      </c>
      <c r="G62" s="8" t="n">
        <v>586.42</v>
      </c>
      <c r="H62" s="2" t="n">
        <v>192.9</v>
      </c>
      <c r="I62" s="8" t="n">
        <v>304</v>
      </c>
      <c r="J62" s="8" t="n">
        <v>890.42</v>
      </c>
      <c r="K62" s="2" t="n">
        <v>1</v>
      </c>
      <c r="L62" s="2" t="n">
        <v>9</v>
      </c>
      <c r="M62" s="2" t="inlineStr">
        <is>
          <t>2026-10-15T05:02:44Z</t>
        </is>
      </c>
      <c r="N62" s="2" t="inlineStr">
        <is>
          <t>2026-10-15T05:07:10Z</t>
        </is>
      </c>
      <c r="O62" s="2" t="n">
        <v>267</v>
      </c>
      <c r="P62" s="2" t="n">
        <v>0</v>
      </c>
      <c r="Q62" s="8" t="n">
        <v>0</v>
      </c>
      <c r="R62" s="8" t="n">
        <v>78809.19</v>
      </c>
      <c r="S62" s="2" t="n">
        <v>19955</v>
      </c>
      <c r="T62" s="2" t="n">
        <v>6036</v>
      </c>
    </row>
    <row r="63">
      <c r="A63" s="2" t="n">
        <v>62</v>
      </c>
      <c r="B63" s="2" t="inlineStr">
        <is>
          <t>Frgw6RGZCMvRAggUbG94YrJTimqY9tQV11Rw19XXKvs9</t>
        </is>
      </c>
      <c r="C63" s="2" t="inlineStr">
        <is>
          <t>fomo</t>
        </is>
      </c>
      <c r="D63" s="2" t="inlineStr">
        <is>
          <t>MrLaFleur</t>
        </is>
      </c>
      <c r="E63" s="8" t="n">
        <v>578.55</v>
      </c>
      <c r="F63" s="8" t="n">
        <v>267.68</v>
      </c>
      <c r="G63" s="8" t="n">
        <v>846.23</v>
      </c>
      <c r="H63" s="2" t="n">
        <v>188.05</v>
      </c>
      <c r="I63" s="8" t="n">
        <v>450</v>
      </c>
      <c r="J63" s="8" t="n">
        <v>778.55</v>
      </c>
      <c r="K63" s="2" t="n">
        <v>3</v>
      </c>
      <c r="L63" s="2" t="n">
        <v>2</v>
      </c>
      <c r="M63" s="2" t="inlineStr">
        <is>
          <t>2026-10-15T05:11:39Z</t>
        </is>
      </c>
      <c r="N63" s="2" t="inlineStr">
        <is>
          <t>2026-10-15T05:53:35Z</t>
        </is>
      </c>
      <c r="O63" s="2" t="n">
        <v>4460</v>
      </c>
      <c r="P63" s="2" t="n">
        <v>2113553.240755</v>
      </c>
      <c r="Q63" s="8" t="n">
        <v>517.6799999999999</v>
      </c>
      <c r="R63" s="8" t="n">
        <v>-2818.98</v>
      </c>
      <c r="S63" s="2" t="n">
        <v>1268</v>
      </c>
      <c r="T63" s="2" t="n">
        <v>490</v>
      </c>
    </row>
    <row r="64">
      <c r="A64" s="2" t="n">
        <v>63</v>
      </c>
      <c r="B64" s="2" t="inlineStr">
        <is>
          <t>87bEQ9JEEPp3GZKKk9Y2h1uw9Lw4UUAyyrXV5wEHGNLR</t>
        </is>
      </c>
      <c r="C64" s="2" t="inlineStr">
        <is>
          <t>potential_bot</t>
        </is>
      </c>
      <c r="E64" s="8" t="n">
        <v>571.22</v>
      </c>
      <c r="F64" s="8" t="n">
        <v>0</v>
      </c>
      <c r="G64" s="8" t="n">
        <v>571.22</v>
      </c>
      <c r="H64" s="2" t="n">
        <v>0</v>
      </c>
      <c r="I64" s="8" t="n">
        <v>0</v>
      </c>
      <c r="J64" s="8" t="n">
        <v>571.22</v>
      </c>
      <c r="K64" s="2" t="n">
        <v>0</v>
      </c>
      <c r="L64" s="2" t="n">
        <v>3</v>
      </c>
      <c r="M64" s="2" t="inlineStr">
        <is>
          <t>2026-10-15T05:31:58Z</t>
        </is>
      </c>
      <c r="N64" s="2" t="inlineStr">
        <is>
          <t>2026-10-15T05:36:56Z</t>
        </is>
      </c>
      <c r="P64" s="2" t="n">
        <v>0</v>
      </c>
      <c r="Q64" s="8" t="n">
        <v>0</v>
      </c>
      <c r="R64" s="8" t="n">
        <v>1073697.63</v>
      </c>
      <c r="S64" s="2" t="n">
        <v>14526</v>
      </c>
      <c r="T64" s="2" t="n">
        <v>1311</v>
      </c>
    </row>
    <row r="65">
      <c r="A65" s="2" t="n">
        <v>64</v>
      </c>
      <c r="B65" s="2" t="inlineStr">
        <is>
          <t>FehDPJwU9mAVmv2epKLWNwHBV7bCSBSNCzMmWhmjv6Ce</t>
        </is>
      </c>
      <c r="C65" s="2" t="inlineStr">
        <is>
          <t>potential_bot</t>
        </is>
      </c>
      <c r="E65" s="8" t="n">
        <v>566.3099999999999</v>
      </c>
      <c r="F65" s="8" t="n">
        <v>0</v>
      </c>
      <c r="G65" s="8" t="n">
        <v>566.3099999999999</v>
      </c>
      <c r="H65" s="2" t="n">
        <v>278.04</v>
      </c>
      <c r="I65" s="8" t="n">
        <v>203.68</v>
      </c>
      <c r="J65" s="8" t="n">
        <v>769.99</v>
      </c>
      <c r="K65" s="2" t="n">
        <v>1</v>
      </c>
      <c r="L65" s="2" t="n">
        <v>3</v>
      </c>
      <c r="M65" s="2" t="inlineStr">
        <is>
          <t>2026-10-15T05:36:49Z</t>
        </is>
      </c>
      <c r="N65" s="2" t="inlineStr">
        <is>
          <t>2026-10-15T06:04:55Z</t>
        </is>
      </c>
      <c r="O65" s="2" t="n">
        <v>1142</v>
      </c>
      <c r="P65" s="2" t="n">
        <v>0</v>
      </c>
      <c r="Q65" s="8" t="n">
        <v>0</v>
      </c>
      <c r="R65" s="8" t="n">
        <v>230950.13</v>
      </c>
      <c r="S65" s="2" t="n">
        <v>3434</v>
      </c>
      <c r="T65" s="2" t="n">
        <v>935</v>
      </c>
    </row>
    <row r="66">
      <c r="A66" s="2" t="n">
        <v>65</v>
      </c>
      <c r="B66" s="2" t="inlineStr">
        <is>
          <t>72tAZjqymv4J2KHDPd3rzFkPL78tj556K32BJgBmBu5D</t>
        </is>
      </c>
      <c r="E66" s="8" t="n">
        <v>565.25</v>
      </c>
      <c r="F66" s="8" t="n">
        <v>0</v>
      </c>
      <c r="G66" s="8" t="n">
        <v>565.25</v>
      </c>
      <c r="H66" s="2" t="n">
        <v>13.6</v>
      </c>
      <c r="I66" s="8" t="n">
        <v>4157.76</v>
      </c>
      <c r="J66" s="8" t="n">
        <v>4723.01</v>
      </c>
      <c r="K66" s="2" t="n">
        <v>14</v>
      </c>
      <c r="L66" s="2" t="n">
        <v>14</v>
      </c>
      <c r="M66" s="2" t="inlineStr">
        <is>
          <t>2026-10-15T05:05:18Z</t>
        </is>
      </c>
      <c r="N66" s="2" t="inlineStr">
        <is>
          <t>2026-10-15T05:59:27Z</t>
        </is>
      </c>
      <c r="O66" s="2" t="n">
        <v>3249</v>
      </c>
      <c r="P66" s="2" t="n">
        <v>0</v>
      </c>
      <c r="Q66" s="8" t="n">
        <v>0</v>
      </c>
      <c r="R66" s="8" t="n">
        <v>81807.94</v>
      </c>
      <c r="S66" s="2" t="n">
        <v>22466</v>
      </c>
      <c r="T66" s="2" t="n">
        <v>2926</v>
      </c>
    </row>
    <row r="67">
      <c r="A67" s="2" t="n">
        <v>66</v>
      </c>
      <c r="B67" s="2" t="inlineStr">
        <is>
          <t>BEvw9mQbfQwbnQKy4XJQuxDbADuJMAhKaUVtdjj4fz8N</t>
        </is>
      </c>
      <c r="E67" s="8" t="n">
        <v>560.24</v>
      </c>
      <c r="F67" s="8" t="n">
        <v>0</v>
      </c>
      <c r="G67" s="8" t="n">
        <v>560.24</v>
      </c>
      <c r="H67" s="2" t="n">
        <v>28.57</v>
      </c>
      <c r="I67" s="8" t="n">
        <v>1961.16</v>
      </c>
      <c r="J67" s="8" t="n">
        <v>2521.4</v>
      </c>
      <c r="K67" s="2" t="n">
        <v>12</v>
      </c>
      <c r="L67" s="2" t="n">
        <v>12</v>
      </c>
      <c r="M67" s="2" t="inlineStr">
        <is>
          <t>2026-10-15T05:10:49Z</t>
        </is>
      </c>
      <c r="N67" s="2" t="inlineStr">
        <is>
          <t>2026-10-15T06:03:06Z</t>
        </is>
      </c>
      <c r="O67" s="2" t="n">
        <v>3136</v>
      </c>
      <c r="P67" s="2" t="n">
        <v>0</v>
      </c>
      <c r="Q67" s="8" t="n">
        <v>0</v>
      </c>
      <c r="R67" s="8" t="n">
        <v>462451.95</v>
      </c>
      <c r="S67" s="2" t="n">
        <v>79915</v>
      </c>
      <c r="T67" s="2" t="n">
        <v>8163</v>
      </c>
    </row>
    <row r="68">
      <c r="A68" s="2" t="n">
        <v>67</v>
      </c>
      <c r="B68" s="2" t="inlineStr">
        <is>
          <t>CXFFCxU4WvMqwcckUosKPyoejYriPwFn4PpEAvnpDnSq</t>
        </is>
      </c>
      <c r="C68" s="2" t="inlineStr">
        <is>
          <t>gmgn</t>
        </is>
      </c>
      <c r="E68" s="8" t="n">
        <v>557.42</v>
      </c>
      <c r="F68" s="8" t="n">
        <v>0</v>
      </c>
      <c r="G68" s="8" t="n">
        <v>557.42</v>
      </c>
      <c r="H68" s="2" t="n">
        <v>55.1</v>
      </c>
      <c r="I68" s="8" t="n">
        <v>1011.7</v>
      </c>
      <c r="J68" s="8" t="n">
        <v>1569.12</v>
      </c>
      <c r="K68" s="2" t="n">
        <v>11</v>
      </c>
      <c r="L68" s="2" t="n">
        <v>6</v>
      </c>
      <c r="M68" s="2" t="inlineStr">
        <is>
          <t>2026-10-15T05:13:23Z</t>
        </is>
      </c>
      <c r="N68" s="2" t="inlineStr">
        <is>
          <t>2026-10-15T06:25:00Z</t>
        </is>
      </c>
      <c r="O68" s="2" t="n">
        <v>4357</v>
      </c>
      <c r="P68" s="2" t="n">
        <v>6.984919999999999e-10</v>
      </c>
      <c r="Q68" s="8" t="n">
        <v>0</v>
      </c>
      <c r="R68" s="8" t="n">
        <v>-100.49</v>
      </c>
      <c r="S68" s="2" t="n">
        <v>824</v>
      </c>
      <c r="T68" s="2" t="n">
        <v>185</v>
      </c>
    </row>
    <row r="69">
      <c r="A69" s="2" t="n">
        <v>68</v>
      </c>
      <c r="B69" s="2" t="inlineStr">
        <is>
          <t>DCKddL7QCbB3VbghBkahHLWCt8jjKJLWLim2LJtA9p36</t>
        </is>
      </c>
      <c r="C69" s="2" t="inlineStr">
        <is>
          <t>axiom</t>
        </is>
      </c>
      <c r="E69" s="8" t="n">
        <v>544.96</v>
      </c>
      <c r="F69" s="8" t="n">
        <v>0</v>
      </c>
      <c r="G69" s="8" t="n">
        <v>544.96</v>
      </c>
      <c r="H69" s="2" t="n">
        <v>37.24</v>
      </c>
      <c r="I69" s="8" t="n">
        <v>1463.22</v>
      </c>
      <c r="J69" s="8" t="n">
        <v>2008.18</v>
      </c>
      <c r="K69" s="2" t="n">
        <v>13</v>
      </c>
      <c r="L69" s="2" t="n">
        <v>34</v>
      </c>
      <c r="M69" s="2" t="inlineStr">
        <is>
          <t>2026-10-15T05:05:04Z</t>
        </is>
      </c>
      <c r="N69" s="2" t="inlineStr">
        <is>
          <t>2026-10-15T05:48:23Z</t>
        </is>
      </c>
      <c r="O69" s="2" t="n">
        <v>2598</v>
      </c>
      <c r="P69" s="2" t="n">
        <v>0</v>
      </c>
      <c r="Q69" s="8" t="n">
        <v>0</v>
      </c>
      <c r="R69" s="8" t="n">
        <v>-4533.18</v>
      </c>
      <c r="S69" s="2" t="n">
        <v>3976</v>
      </c>
      <c r="T69" s="2" t="n">
        <v>557</v>
      </c>
    </row>
    <row r="70">
      <c r="A70" s="2" t="n">
        <v>69</v>
      </c>
      <c r="B70" s="2" t="inlineStr">
        <is>
          <t>7BNaxx6KdUYrjACNQZ9He26NBFoFxujQMAfNLnArLGH5</t>
        </is>
      </c>
      <c r="E70" s="8" t="n">
        <v>537.08</v>
      </c>
      <c r="F70" s="8" t="n">
        <v>0</v>
      </c>
      <c r="G70" s="8" t="n">
        <v>537.08</v>
      </c>
      <c r="H70" s="2" t="n">
        <v>14.77</v>
      </c>
      <c r="I70" s="8" t="n">
        <v>3635.93</v>
      </c>
      <c r="J70" s="8" t="n">
        <v>4173</v>
      </c>
      <c r="K70" s="2" t="n">
        <v>11</v>
      </c>
      <c r="L70" s="2" t="n">
        <v>11</v>
      </c>
      <c r="M70" s="2" t="inlineStr">
        <is>
          <t>2026-10-15T05:06:11Z</t>
        </is>
      </c>
      <c r="N70" s="2" t="inlineStr">
        <is>
          <t>2026-10-15T06:17:50Z</t>
        </is>
      </c>
      <c r="O70" s="2" t="n">
        <v>4299</v>
      </c>
      <c r="P70" s="2" t="n">
        <v>0</v>
      </c>
      <c r="Q70" s="8" t="n">
        <v>0</v>
      </c>
      <c r="R70" s="8" t="n">
        <v>3826184.54</v>
      </c>
      <c r="S70" s="2" t="n">
        <v>890796</v>
      </c>
      <c r="T70" s="2" t="n">
        <v>42747</v>
      </c>
    </row>
    <row r="71">
      <c r="A71" s="2" t="n">
        <v>70</v>
      </c>
      <c r="B71" s="2" t="inlineStr">
        <is>
          <t>99Q2ZBYnzaHziqcb7RL88L4vejfmJsVazNbhB38Xte3J</t>
        </is>
      </c>
      <c r="C71" s="2" t="inlineStr">
        <is>
          <t>axiom</t>
        </is>
      </c>
      <c r="E71" s="8" t="n">
        <v>535.02</v>
      </c>
      <c r="F71" s="8" t="n">
        <v>0</v>
      </c>
      <c r="G71" s="8" t="n">
        <v>535.02</v>
      </c>
      <c r="H71" s="2" t="n">
        <v>495.93</v>
      </c>
      <c r="I71" s="8" t="n">
        <v>107.88</v>
      </c>
      <c r="J71" s="8" t="n">
        <v>642.9</v>
      </c>
      <c r="K71" s="2" t="n">
        <v>1</v>
      </c>
      <c r="L71" s="2" t="n">
        <v>28</v>
      </c>
      <c r="M71" s="2" t="inlineStr">
        <is>
          <t>2026-10-15T04:58:39Z</t>
        </is>
      </c>
      <c r="N71" s="2" t="inlineStr">
        <is>
          <t>2026-10-15T05:09:29Z</t>
        </is>
      </c>
      <c r="O71" s="2" t="n">
        <v>649</v>
      </c>
      <c r="P71" s="2" t="n">
        <v>0</v>
      </c>
      <c r="Q71" s="8" t="n">
        <v>0</v>
      </c>
      <c r="R71" s="8" t="n">
        <v>3966.71</v>
      </c>
      <c r="S71" s="2" t="n">
        <v>2070</v>
      </c>
      <c r="T71" s="2" t="n">
        <v>560</v>
      </c>
    </row>
    <row r="72">
      <c r="A72" s="2" t="n">
        <v>71</v>
      </c>
      <c r="B72" s="2" t="inlineStr">
        <is>
          <t>2tgUbS9UMoQD6GkDZBiqKYCURnGrSb6ocYwRABrSJUvY</t>
        </is>
      </c>
      <c r="E72" s="8" t="n">
        <v>530.78</v>
      </c>
      <c r="F72" s="8" t="n">
        <v>0</v>
      </c>
      <c r="G72" s="8" t="n">
        <v>530.78</v>
      </c>
      <c r="H72" s="2" t="n">
        <v>8.23</v>
      </c>
      <c r="I72" s="8" t="n">
        <v>6447.43</v>
      </c>
      <c r="J72" s="8" t="n">
        <v>6978.21</v>
      </c>
      <c r="K72" s="2" t="n">
        <v>121</v>
      </c>
      <c r="L72" s="2" t="n">
        <v>121</v>
      </c>
      <c r="M72" s="2" t="inlineStr">
        <is>
          <t>2026-10-15T05:06:40Z</t>
        </is>
      </c>
      <c r="N72" s="2" t="inlineStr">
        <is>
          <t>2026-10-15T06:23:03Z</t>
        </is>
      </c>
      <c r="O72" s="2" t="n">
        <v>4583</v>
      </c>
      <c r="P72" s="2" t="n">
        <v>0</v>
      </c>
      <c r="Q72" s="8" t="n">
        <v>0</v>
      </c>
      <c r="R72" s="8" t="n">
        <v>2170853.83</v>
      </c>
      <c r="S72" s="2" t="n">
        <v>13050134</v>
      </c>
      <c r="T72" s="2" t="n">
        <v>59452</v>
      </c>
    </row>
    <row r="73">
      <c r="A73" s="2" t="n">
        <v>72</v>
      </c>
      <c r="B73" s="2" t="inlineStr">
        <is>
          <t>Hn3Edvyb38rJipW4F3aZLuYjXHppXvgJXFEWyHX5nPoT</t>
        </is>
      </c>
      <c r="E73" s="8" t="n">
        <v>529.51</v>
      </c>
      <c r="F73" s="8" t="n">
        <v>0</v>
      </c>
      <c r="G73" s="8" t="n">
        <v>529.51</v>
      </c>
      <c r="H73" s="2" t="n">
        <v>0</v>
      </c>
      <c r="I73" s="8" t="n">
        <v>0</v>
      </c>
      <c r="J73" s="8" t="n">
        <v>529.51</v>
      </c>
      <c r="K73" s="2" t="n">
        <v>0</v>
      </c>
      <c r="L73" s="2" t="n">
        <v>2</v>
      </c>
      <c r="M73" s="2" t="inlineStr">
        <is>
          <t>2026-10-15T05:41:03Z</t>
        </is>
      </c>
      <c r="N73" s="2" t="inlineStr">
        <is>
          <t>2026-10-15T05:52:11Z</t>
        </is>
      </c>
      <c r="P73" s="2" t="n">
        <v>0</v>
      </c>
      <c r="Q73" s="8" t="n">
        <v>0</v>
      </c>
      <c r="R73" s="8" t="n">
        <v>7668.87</v>
      </c>
      <c r="S73" s="2" t="n">
        <v>155</v>
      </c>
      <c r="T73" s="2" t="n">
        <v>74</v>
      </c>
    </row>
    <row r="74">
      <c r="A74" s="2" t="n">
        <v>73</v>
      </c>
      <c r="B74" s="2" t="inlineStr">
        <is>
          <t>x1wRVyxJ6xTsp9nQSZgeVsLazPwQbcvUwsb1t5y2WGA</t>
        </is>
      </c>
      <c r="C74" s="2" t="inlineStr">
        <is>
          <t>axiom</t>
        </is>
      </c>
      <c r="E74" s="8" t="n">
        <v>515.26</v>
      </c>
      <c r="F74" s="8" t="n">
        <v>0</v>
      </c>
      <c r="G74" s="8" t="n">
        <v>515.26</v>
      </c>
      <c r="H74" s="2" t="n">
        <v>71.84</v>
      </c>
      <c r="I74" s="8" t="n">
        <v>717.22</v>
      </c>
      <c r="J74" s="8" t="n">
        <v>1232.48</v>
      </c>
      <c r="K74" s="2" t="n">
        <v>14</v>
      </c>
      <c r="L74" s="2" t="n">
        <v>13</v>
      </c>
      <c r="M74" s="2" t="inlineStr">
        <is>
          <t>2026-10-15T05:02:49Z</t>
        </is>
      </c>
      <c r="N74" s="2" t="inlineStr">
        <is>
          <t>2026-10-15T05:40:50Z</t>
        </is>
      </c>
      <c r="O74" s="2" t="n">
        <v>2281</v>
      </c>
      <c r="P74" s="2" t="n">
        <v>0</v>
      </c>
      <c r="Q74" s="8" t="n">
        <v>0</v>
      </c>
      <c r="R74" s="8" t="n">
        <v>32390.23</v>
      </c>
      <c r="S74" s="2" t="n">
        <v>4983</v>
      </c>
      <c r="T74" s="2" t="n">
        <v>875</v>
      </c>
    </row>
    <row r="75">
      <c r="A75" s="2" t="n">
        <v>74</v>
      </c>
      <c r="B75" s="2" t="inlineStr">
        <is>
          <t>9xoW7tmArozmTicuWeQybc9XyYHot8efMECgCDDZAPyF</t>
        </is>
      </c>
      <c r="C75" s="2" t="inlineStr">
        <is>
          <t>fomo</t>
        </is>
      </c>
      <c r="D75" s="2" t="inlineStr">
        <is>
          <t>Burry</t>
        </is>
      </c>
      <c r="E75" s="8" t="n">
        <v>499.31</v>
      </c>
      <c r="F75" s="8" t="n">
        <v>0</v>
      </c>
      <c r="G75" s="8" t="n">
        <v>499.31</v>
      </c>
      <c r="H75" s="2" t="n">
        <v>17.52</v>
      </c>
      <c r="I75" s="8" t="n">
        <v>2850</v>
      </c>
      <c r="J75" s="8" t="n">
        <v>3349.31</v>
      </c>
      <c r="K75" s="2" t="n">
        <v>4</v>
      </c>
      <c r="L75" s="2" t="n">
        <v>3</v>
      </c>
      <c r="M75" s="2" t="inlineStr">
        <is>
          <t>2026-10-15T05:06:19Z</t>
        </is>
      </c>
      <c r="N75" s="2" t="inlineStr">
        <is>
          <t>2026-10-15T05:35:52Z</t>
        </is>
      </c>
      <c r="O75" s="2" t="n">
        <v>1773</v>
      </c>
      <c r="P75" s="2" t="n">
        <v>0</v>
      </c>
      <c r="Q75" s="8" t="n">
        <v>0</v>
      </c>
      <c r="R75" s="8" t="n">
        <v>-11927.2</v>
      </c>
      <c r="S75" s="2" t="n">
        <v>1185</v>
      </c>
      <c r="T75" s="2" t="n">
        <v>320</v>
      </c>
    </row>
    <row r="76">
      <c r="A76" s="2" t="n">
        <v>75</v>
      </c>
      <c r="B76" s="2" t="inlineStr">
        <is>
          <t>BTf4A2exGK9BCVDNzy65b9dUzXgMqB4weVkvTMFQsadd</t>
        </is>
      </c>
      <c r="C76" s="2" t="inlineStr">
        <is>
          <t>kol;gmgn;terminal;axiom;photon</t>
        </is>
      </c>
      <c r="D76" s="2" t="inlineStr">
        <is>
          <t>Kev</t>
        </is>
      </c>
      <c r="E76" s="8" t="n">
        <v>491.28</v>
      </c>
      <c r="F76" s="8" t="n">
        <v>0</v>
      </c>
      <c r="G76" s="8" t="n">
        <v>491.28</v>
      </c>
      <c r="H76" s="2" t="n">
        <v>106.34</v>
      </c>
      <c r="I76" s="8" t="n">
        <v>461.99</v>
      </c>
      <c r="J76" s="8" t="n">
        <v>953.28</v>
      </c>
      <c r="K76" s="2" t="n">
        <v>5</v>
      </c>
      <c r="L76" s="2" t="n">
        <v>1</v>
      </c>
      <c r="M76" s="2" t="inlineStr">
        <is>
          <t>2026-10-15T05:01:23Z</t>
        </is>
      </c>
      <c r="N76" s="2" t="inlineStr">
        <is>
          <t>2026-10-15T05:08:00Z</t>
        </is>
      </c>
      <c r="O76" s="2" t="n">
        <v>397</v>
      </c>
      <c r="P76" s="2" t="n">
        <v>0</v>
      </c>
      <c r="Q76" s="8" t="n">
        <v>0</v>
      </c>
      <c r="R76" s="8" t="n">
        <v>4269824.83</v>
      </c>
      <c r="S76" s="2" t="n">
        <v>239231</v>
      </c>
      <c r="T76" s="2" t="n">
        <v>77287</v>
      </c>
    </row>
    <row r="77">
      <c r="A77" s="2" t="n">
        <v>76</v>
      </c>
      <c r="B77" s="2" t="inlineStr">
        <is>
          <t>dtrzJPj7yDdvm6eRqBAgxsK2sMJeD9HhBEBB3XMedXy</t>
        </is>
      </c>
      <c r="C77" s="2" t="inlineStr">
        <is>
          <t>terminal;axiom;developer</t>
        </is>
      </c>
      <c r="E77" s="8" t="n">
        <v>489.03</v>
      </c>
      <c r="F77" s="8" t="n">
        <v>0</v>
      </c>
      <c r="G77" s="8" t="n">
        <v>489.03</v>
      </c>
      <c r="H77" s="2" t="n">
        <v>79.22</v>
      </c>
      <c r="I77" s="8" t="n">
        <v>617.34</v>
      </c>
      <c r="J77" s="8" t="n">
        <v>1106.37</v>
      </c>
      <c r="K77" s="2" t="n">
        <v>1</v>
      </c>
      <c r="L77" s="2" t="n">
        <v>8</v>
      </c>
      <c r="M77" s="2" t="inlineStr">
        <is>
          <t>2026-10-15T04:58:28Z</t>
        </is>
      </c>
      <c r="N77" s="2" t="inlineStr">
        <is>
          <t>2026-10-15T04:58:35Z</t>
        </is>
      </c>
      <c r="O77" s="2" t="n">
        <v>7</v>
      </c>
      <c r="P77" s="2" t="n">
        <v>0</v>
      </c>
      <c r="Q77" s="8" t="n">
        <v>0</v>
      </c>
      <c r="R77" s="8" t="n">
        <v>3322311.36</v>
      </c>
      <c r="S77" s="2" t="n">
        <v>82285</v>
      </c>
      <c r="T77" s="2" t="n">
        <v>16783</v>
      </c>
    </row>
    <row r="78">
      <c r="A78" s="2" t="n">
        <v>77</v>
      </c>
      <c r="B78" s="2" t="inlineStr">
        <is>
          <t>FUda9sJqhYPN81iSb5GEtHC2natgPTuHW8wQwcm7nb9J</t>
        </is>
      </c>
      <c r="C78" s="2" t="inlineStr">
        <is>
          <t>axiom</t>
        </is>
      </c>
      <c r="E78" s="8" t="n">
        <v>486</v>
      </c>
      <c r="F78" s="8" t="n">
        <v>257.87</v>
      </c>
      <c r="G78" s="8" t="n">
        <v>743.87</v>
      </c>
      <c r="H78" s="2" t="n">
        <v>45.3</v>
      </c>
      <c r="I78" s="8" t="n">
        <v>1642.22</v>
      </c>
      <c r="J78" s="8" t="n">
        <v>1437.89</v>
      </c>
      <c r="K78" s="2" t="n">
        <v>26</v>
      </c>
      <c r="L78" s="2" t="n">
        <v>49</v>
      </c>
      <c r="M78" s="2" t="inlineStr">
        <is>
          <t>2026-10-15T05:12:45Z</t>
        </is>
      </c>
      <c r="N78" s="2" t="inlineStr">
        <is>
          <t>2026-10-15T05:58:11Z</t>
        </is>
      </c>
      <c r="O78" s="2" t="n">
        <v>4394</v>
      </c>
      <c r="P78" s="2" t="n">
        <v>3871286.782939001</v>
      </c>
      <c r="Q78" s="8" t="n">
        <v>948.21</v>
      </c>
      <c r="R78" s="8" t="n">
        <v>1968.7</v>
      </c>
      <c r="S78" s="2" t="n">
        <v>255</v>
      </c>
      <c r="T78" s="2" t="n">
        <v>48</v>
      </c>
    </row>
    <row r="79">
      <c r="A79" s="2" t="n">
        <v>78</v>
      </c>
      <c r="B79" s="2" t="inlineStr">
        <is>
          <t>7ntHY4u8cxyPdG48Jv7tBXgpr7375yooCSHz5aNV9ud6</t>
        </is>
      </c>
      <c r="C79" s="2" t="inlineStr">
        <is>
          <t>terminal;axiom</t>
        </is>
      </c>
      <c r="E79" s="8" t="n">
        <v>485.21</v>
      </c>
      <c r="F79" s="8" t="n">
        <v>0</v>
      </c>
      <c r="G79" s="8" t="n">
        <v>485.21</v>
      </c>
      <c r="H79" s="2" t="n">
        <v>95.64</v>
      </c>
      <c r="I79" s="8" t="n">
        <v>507.34</v>
      </c>
      <c r="J79" s="8" t="n">
        <v>992.55</v>
      </c>
      <c r="K79" s="2" t="n">
        <v>1</v>
      </c>
      <c r="L79" s="2" t="n">
        <v>2</v>
      </c>
      <c r="M79" s="2" t="inlineStr">
        <is>
          <t>2026-10-15T05:18:32Z</t>
        </is>
      </c>
      <c r="N79" s="2" t="inlineStr">
        <is>
          <t>2026-10-15T05:24:01Z</t>
        </is>
      </c>
      <c r="O79" s="2" t="n">
        <v>329</v>
      </c>
      <c r="P79" s="2" t="n">
        <v>0</v>
      </c>
      <c r="Q79" s="8" t="n">
        <v>0</v>
      </c>
      <c r="R79" s="8" t="n">
        <v>2138.09</v>
      </c>
      <c r="S79" s="2" t="n">
        <v>135</v>
      </c>
      <c r="T79" s="2" t="n">
        <v>33</v>
      </c>
    </row>
    <row r="80">
      <c r="A80" s="2" t="n">
        <v>79</v>
      </c>
      <c r="B80" s="2" t="inlineStr">
        <is>
          <t>2ZEQ7jhCXunw8EHsGRU7beBeayNtvm8rxhSZ5kH5Rhan</t>
        </is>
      </c>
      <c r="C80" s="2" t="inlineStr">
        <is>
          <t>axiom</t>
        </is>
      </c>
      <c r="E80" s="8" t="n">
        <v>483.1</v>
      </c>
      <c r="F80" s="8" t="n">
        <v>306.51</v>
      </c>
      <c r="G80" s="8" t="n">
        <v>789.61</v>
      </c>
      <c r="H80" s="2" t="n">
        <v>41.62</v>
      </c>
      <c r="I80" s="8" t="n">
        <v>1897.05</v>
      </c>
      <c r="J80" s="8" t="n">
        <v>1511.22</v>
      </c>
      <c r="K80" s="2" t="n">
        <v>30</v>
      </c>
      <c r="L80" s="2" t="n">
        <v>49</v>
      </c>
      <c r="M80" s="2" t="inlineStr">
        <is>
          <t>2026-10-15T05:12:45Z</t>
        </is>
      </c>
      <c r="N80" s="2" t="inlineStr">
        <is>
          <t>2026-10-15T05:58:12Z</t>
        </is>
      </c>
      <c r="O80" s="2" t="n">
        <v>4394</v>
      </c>
      <c r="P80" s="2" t="n">
        <v>4799054.326428001</v>
      </c>
      <c r="Q80" s="8" t="n">
        <v>1175.45</v>
      </c>
      <c r="R80" s="8" t="n">
        <v>2098.75</v>
      </c>
      <c r="S80" s="2" t="n">
        <v>251</v>
      </c>
      <c r="T80" s="2" t="n">
        <v>43</v>
      </c>
    </row>
    <row r="81">
      <c r="A81" s="2" t="n">
        <v>80</v>
      </c>
      <c r="B81" s="2" t="inlineStr">
        <is>
          <t>AZizBj4pgYGtzNZhBUFKHdk9twF5PPzgUuoHRkLsU9mG</t>
        </is>
      </c>
      <c r="C81" s="2" t="inlineStr">
        <is>
          <t>axiom</t>
        </is>
      </c>
      <c r="E81" s="8" t="n">
        <v>482.83</v>
      </c>
      <c r="F81" s="8" t="n">
        <v>0</v>
      </c>
      <c r="G81" s="8" t="n">
        <v>482.83</v>
      </c>
      <c r="H81" s="2" t="n">
        <v>445.08</v>
      </c>
      <c r="I81" s="8" t="n">
        <v>108.48</v>
      </c>
      <c r="J81" s="8" t="n">
        <v>591.3099999999999</v>
      </c>
      <c r="K81" s="2" t="n">
        <v>1</v>
      </c>
      <c r="L81" s="2" t="n">
        <v>28</v>
      </c>
      <c r="M81" s="2" t="inlineStr">
        <is>
          <t>2026-10-15T04:58:39Z</t>
        </is>
      </c>
      <c r="N81" s="2" t="inlineStr">
        <is>
          <t>2026-10-15T05:09:29Z</t>
        </is>
      </c>
      <c r="O81" s="2" t="n">
        <v>649</v>
      </c>
      <c r="P81" s="2" t="n">
        <v>0</v>
      </c>
      <c r="Q81" s="8" t="n">
        <v>0</v>
      </c>
      <c r="R81" s="8" t="n">
        <v>-2075.65</v>
      </c>
      <c r="S81" s="2" t="n">
        <v>2325</v>
      </c>
      <c r="T81" s="2" t="n">
        <v>653</v>
      </c>
    </row>
    <row r="82">
      <c r="A82" s="2" t="n">
        <v>81</v>
      </c>
      <c r="B82" s="2" t="inlineStr">
        <is>
          <t>GpBNf1N7RhKitLiewPaEyLTSHyEgFQhmbxMqYUKN4nUA</t>
        </is>
      </c>
      <c r="C82" s="2" t="inlineStr">
        <is>
          <t>fomo</t>
        </is>
      </c>
      <c r="D82" s="2" t="inlineStr">
        <is>
          <t>hi</t>
        </is>
      </c>
      <c r="E82" s="8" t="n">
        <v>480.72</v>
      </c>
      <c r="F82" s="8" t="n">
        <v>0</v>
      </c>
      <c r="G82" s="8" t="n">
        <v>480.72</v>
      </c>
      <c r="H82" s="2" t="n">
        <v>80.12</v>
      </c>
      <c r="I82" s="8" t="n">
        <v>600</v>
      </c>
      <c r="J82" s="8" t="n">
        <v>1080.72</v>
      </c>
      <c r="K82" s="2" t="n">
        <v>1</v>
      </c>
      <c r="L82" s="2" t="n">
        <v>1</v>
      </c>
      <c r="M82" s="2" t="inlineStr">
        <is>
          <t>2026-10-15T05:40:33Z</t>
        </is>
      </c>
      <c r="N82" s="2" t="inlineStr">
        <is>
          <t>2026-10-15T05:46:23Z</t>
        </is>
      </c>
      <c r="O82" s="2" t="n">
        <v>350</v>
      </c>
      <c r="P82" s="2" t="n">
        <v>0</v>
      </c>
      <c r="Q82" s="8" t="n">
        <v>0</v>
      </c>
      <c r="R82" s="8" t="n">
        <v>25650.78</v>
      </c>
      <c r="S82" s="2" t="n">
        <v>791</v>
      </c>
      <c r="T82" s="2" t="n">
        <v>168</v>
      </c>
    </row>
    <row r="83">
      <c r="A83" s="2" t="n">
        <v>82</v>
      </c>
      <c r="B83" s="2" t="inlineStr">
        <is>
          <t>6zfAFhaN1Yh93pQWkhAyZyvuXdRToDZyhhSjzrnqavJf</t>
        </is>
      </c>
      <c r="C83" s="2" t="inlineStr">
        <is>
          <t>gmgn</t>
        </is>
      </c>
      <c r="E83" s="8" t="n">
        <v>477.43</v>
      </c>
      <c r="F83" s="8" t="n">
        <v>129.76</v>
      </c>
      <c r="G83" s="8" t="n">
        <v>607.1900000000001</v>
      </c>
      <c r="H83" s="2" t="n">
        <v>73.73999999999999</v>
      </c>
      <c r="I83" s="8" t="n">
        <v>823.4400000000001</v>
      </c>
      <c r="J83" s="8" t="n">
        <v>1128.47</v>
      </c>
      <c r="K83" s="2" t="n">
        <v>4</v>
      </c>
      <c r="L83" s="2" t="n">
        <v>5</v>
      </c>
      <c r="M83" s="2" t="inlineStr">
        <is>
          <t>2026-10-15T05:13:12Z</t>
        </is>
      </c>
      <c r="N83" s="2" t="inlineStr">
        <is>
          <t>2026-10-15T05:55:48Z</t>
        </is>
      </c>
      <c r="O83" s="2" t="n">
        <v>4368</v>
      </c>
      <c r="P83" s="2" t="n">
        <v>1233640.801825</v>
      </c>
      <c r="Q83" s="8" t="n">
        <v>302.16</v>
      </c>
      <c r="R83" s="8" t="n">
        <v>-1600.38</v>
      </c>
      <c r="S83" s="2" t="n">
        <v>96</v>
      </c>
      <c r="T83" s="2" t="n">
        <v>33</v>
      </c>
    </row>
    <row r="84">
      <c r="A84" s="2" t="n">
        <v>83</v>
      </c>
      <c r="B84" s="2" t="inlineStr">
        <is>
          <t>apgeZdfGbn7ZAjH6rCQSepqRHT4Wa2XnK2jDDXX2ZnT</t>
        </is>
      </c>
      <c r="C84" s="2" t="inlineStr">
        <is>
          <t>axiom;pumpfun-app</t>
        </is>
      </c>
      <c r="D84" s="2" t="inlineStr">
        <is>
          <t>uppermarlin8343</t>
        </is>
      </c>
      <c r="E84" s="8" t="n">
        <v>472.28</v>
      </c>
      <c r="F84" s="8" t="n">
        <v>0</v>
      </c>
      <c r="G84" s="8" t="n">
        <v>472.28</v>
      </c>
      <c r="H84" s="2" t="n">
        <v>97.13</v>
      </c>
      <c r="I84" s="8" t="n">
        <v>486.22</v>
      </c>
      <c r="J84" s="8" t="n">
        <v>476.66</v>
      </c>
      <c r="K84" s="2" t="n">
        <v>3</v>
      </c>
      <c r="L84" s="2" t="n">
        <v>1</v>
      </c>
      <c r="M84" s="2" t="inlineStr">
        <is>
          <t>2026-10-15T05:16:48Z</t>
        </is>
      </c>
      <c r="N84" s="2" t="inlineStr">
        <is>
          <t>2026-10-15T05:46:29Z</t>
        </is>
      </c>
      <c r="O84" s="2" t="n">
        <v>1609</v>
      </c>
      <c r="P84" s="2" t="n">
        <v>0</v>
      </c>
      <c r="Q84" s="8" t="n">
        <v>0</v>
      </c>
      <c r="R84" s="8" t="n">
        <v>68668.57000000001</v>
      </c>
      <c r="S84" s="2" t="n">
        <v>3193</v>
      </c>
      <c r="T84" s="2" t="n">
        <v>1039</v>
      </c>
    </row>
    <row r="85">
      <c r="A85" s="2" t="n">
        <v>84</v>
      </c>
      <c r="B85" s="2" t="inlineStr">
        <is>
          <t>Fy7Z33b2f7b1L53C2KydPsdt7ypmRcuxqRU6L95rNnFc</t>
        </is>
      </c>
      <c r="C85" s="2" t="inlineStr">
        <is>
          <t>axiom</t>
        </is>
      </c>
      <c r="E85" s="8" t="n">
        <v>460.97</v>
      </c>
      <c r="F85" s="8" t="n">
        <v>0</v>
      </c>
      <c r="G85" s="8" t="n">
        <v>460.97</v>
      </c>
      <c r="H85" s="2" t="n">
        <v>225.74</v>
      </c>
      <c r="I85" s="8" t="n">
        <v>204.2</v>
      </c>
      <c r="J85" s="8" t="n">
        <v>665.17</v>
      </c>
      <c r="K85" s="2" t="n">
        <v>3</v>
      </c>
      <c r="L85" s="2" t="n">
        <v>18</v>
      </c>
      <c r="M85" s="2" t="inlineStr">
        <is>
          <t>2026-10-15T05:05:45Z</t>
        </is>
      </c>
      <c r="N85" s="2" t="inlineStr">
        <is>
          <t>2026-10-15T05:34:15Z</t>
        </is>
      </c>
      <c r="O85" s="2" t="n">
        <v>4815</v>
      </c>
      <c r="P85" s="2" t="n">
        <v>1.16415e-10</v>
      </c>
      <c r="Q85" s="8" t="n">
        <v>0</v>
      </c>
      <c r="R85" s="8" t="n">
        <v>2762.43</v>
      </c>
      <c r="S85" s="2" t="n">
        <v>2417</v>
      </c>
      <c r="T85" s="2" t="n">
        <v>767</v>
      </c>
    </row>
    <row r="86">
      <c r="A86" s="2" t="n">
        <v>85</v>
      </c>
      <c r="B86" s="2" t="inlineStr">
        <is>
          <t>Ajd34jDeB7ZVWjXp9BcQTfCLzgmhSpSMxdTrV8G2Gsdz</t>
        </is>
      </c>
      <c r="C86" s="2" t="inlineStr">
        <is>
          <t>pumpfun-app</t>
        </is>
      </c>
      <c r="D86" s="2" t="inlineStr">
        <is>
          <t>JadeEmpTerry</t>
        </is>
      </c>
      <c r="E86" s="8" t="n">
        <v>453.8</v>
      </c>
      <c r="F86" s="8" t="n">
        <v>0</v>
      </c>
      <c r="G86" s="8" t="n">
        <v>453.8</v>
      </c>
      <c r="H86" s="2" t="n">
        <v>0</v>
      </c>
      <c r="I86" s="8" t="n">
        <v>0</v>
      </c>
      <c r="J86" s="8" t="n">
        <v>453.8</v>
      </c>
      <c r="K86" s="2" t="n">
        <v>0</v>
      </c>
      <c r="L86" s="2" t="n">
        <v>1</v>
      </c>
      <c r="M86" s="2" t="inlineStr">
        <is>
          <t>2026-10-15T05:35:03Z</t>
        </is>
      </c>
      <c r="N86" s="2" t="inlineStr">
        <is>
          <t>2026-10-15T05:35:03Z</t>
        </is>
      </c>
      <c r="P86" s="2" t="n">
        <v>0</v>
      </c>
      <c r="Q86" s="8" t="n">
        <v>0</v>
      </c>
      <c r="R86" s="8" t="n">
        <v>591.04</v>
      </c>
      <c r="S86" s="2" t="n">
        <v>15</v>
      </c>
      <c r="T86" s="2" t="n">
        <v>8</v>
      </c>
    </row>
    <row r="87">
      <c r="A87" s="2" t="n">
        <v>86</v>
      </c>
      <c r="B87" s="2" t="inlineStr">
        <is>
          <t>ALL1V7x5gH59qUHdpAK5M1js9YMGhb94xarqoi8PTKqy</t>
        </is>
      </c>
      <c r="C87" s="2" t="inlineStr">
        <is>
          <t>fomo</t>
        </is>
      </c>
      <c r="D87" s="2" t="inlineStr">
        <is>
          <t>Siris</t>
        </is>
      </c>
      <c r="E87" s="8" t="n">
        <v>448.79</v>
      </c>
      <c r="F87" s="8" t="n">
        <v>106.21</v>
      </c>
      <c r="G87" s="8" t="n">
        <v>555</v>
      </c>
      <c r="H87" s="2" t="n">
        <v>92.51000000000001</v>
      </c>
      <c r="I87" s="8" t="n">
        <v>599.95</v>
      </c>
      <c r="J87" s="8" t="n">
        <v>968.98</v>
      </c>
      <c r="K87" s="2" t="n">
        <v>2</v>
      </c>
      <c r="L87" s="2" t="n">
        <v>6</v>
      </c>
      <c r="M87" s="2" t="inlineStr">
        <is>
          <t>2026-10-15T05:11:26Z</t>
        </is>
      </c>
      <c r="N87" s="2" t="inlineStr">
        <is>
          <t>2026-10-15T05:23:06Z</t>
        </is>
      </c>
      <c r="O87" s="2" t="n">
        <v>4474</v>
      </c>
      <c r="P87" s="2" t="n">
        <v>759275.576658</v>
      </c>
      <c r="Q87" s="8" t="n">
        <v>185.97</v>
      </c>
      <c r="R87" s="8" t="n">
        <v>-16424.48</v>
      </c>
      <c r="S87" s="2" t="n">
        <v>1746</v>
      </c>
      <c r="T87" s="2" t="n">
        <v>429</v>
      </c>
    </row>
    <row r="88">
      <c r="A88" s="2" t="n">
        <v>87</v>
      </c>
      <c r="B88" s="2" t="inlineStr">
        <is>
          <t>BiqikKKLbDbPQ62mZvEFBdATfqrFW3vmG5MSUzpihZ7n</t>
        </is>
      </c>
      <c r="C88" s="2" t="inlineStr">
        <is>
          <t>axiom</t>
        </is>
      </c>
      <c r="E88" s="8" t="n">
        <v>436.73</v>
      </c>
      <c r="F88" s="8" t="n">
        <v>0</v>
      </c>
      <c r="G88" s="8" t="n">
        <v>436.73</v>
      </c>
      <c r="H88" s="2" t="n">
        <v>402.07</v>
      </c>
      <c r="I88" s="8" t="n">
        <v>108.62</v>
      </c>
      <c r="J88" s="8" t="n">
        <v>545.35</v>
      </c>
      <c r="K88" s="2" t="n">
        <v>1</v>
      </c>
      <c r="L88" s="2" t="n">
        <v>28</v>
      </c>
      <c r="M88" s="2" t="inlineStr">
        <is>
          <t>2026-10-15T04:58:39Z</t>
        </is>
      </c>
      <c r="N88" s="2" t="inlineStr">
        <is>
          <t>2026-10-15T05:09:29Z</t>
        </is>
      </c>
      <c r="O88" s="2" t="n">
        <v>649</v>
      </c>
      <c r="P88" s="2" t="n">
        <v>0</v>
      </c>
      <c r="Q88" s="8" t="n">
        <v>0</v>
      </c>
      <c r="R88" s="8" t="n">
        <v>199568.17</v>
      </c>
      <c r="S88" s="2" t="n">
        <v>7918</v>
      </c>
      <c r="T88" s="2" t="n">
        <v>2007</v>
      </c>
    </row>
    <row r="89">
      <c r="A89" s="2" t="n">
        <v>88</v>
      </c>
      <c r="B89" s="2" t="inlineStr">
        <is>
          <t>7H7nNar5d5YJED1kJ4p7FGD1XqzXmH1GnW9r3hqU7M3Z</t>
        </is>
      </c>
      <c r="E89" s="8" t="n">
        <v>424.14</v>
      </c>
      <c r="F89" s="8" t="n">
        <v>0</v>
      </c>
      <c r="G89" s="8" t="n">
        <v>424.14</v>
      </c>
      <c r="H89" s="2" t="n">
        <v>0</v>
      </c>
      <c r="I89" s="8" t="n">
        <v>0</v>
      </c>
      <c r="J89" s="8" t="n">
        <v>424.14</v>
      </c>
      <c r="K89" s="2" t="n">
        <v>0</v>
      </c>
      <c r="L89" s="2" t="n">
        <v>5</v>
      </c>
      <c r="M89" s="2" t="inlineStr">
        <is>
          <t>2026-10-15T05:34:26Z</t>
        </is>
      </c>
      <c r="N89" s="2" t="inlineStr">
        <is>
          <t>2026-10-15T06:24:26Z</t>
        </is>
      </c>
      <c r="P89" s="2" t="n">
        <v>0</v>
      </c>
      <c r="Q89" s="8" t="n">
        <v>0</v>
      </c>
      <c r="R89" s="8" t="n">
        <v>28723.86</v>
      </c>
      <c r="S89" s="2" t="n">
        <v>1972</v>
      </c>
      <c r="T89" s="2" t="n">
        <v>307</v>
      </c>
    </row>
    <row r="90">
      <c r="A90" s="2" t="n">
        <v>89</v>
      </c>
      <c r="B90" s="2" t="inlineStr">
        <is>
          <t>noRqR4WvSSrTu5NAssyTrjunSnFbnZzpQC1gwL88QYQ</t>
        </is>
      </c>
      <c r="E90" s="8" t="n">
        <v>405.87</v>
      </c>
      <c r="F90" s="8" t="n">
        <v>0</v>
      </c>
      <c r="G90" s="8" t="n">
        <v>405.87</v>
      </c>
      <c r="H90" s="2" t="n">
        <v>0</v>
      </c>
      <c r="I90" s="8" t="n">
        <v>0</v>
      </c>
      <c r="J90" s="8" t="n">
        <v>405.87</v>
      </c>
      <c r="K90" s="2" t="n">
        <v>0</v>
      </c>
      <c r="L90" s="2" t="n">
        <v>2</v>
      </c>
      <c r="M90" s="2" t="inlineStr">
        <is>
          <t>2026-10-15T05:19:16Z</t>
        </is>
      </c>
      <c r="N90" s="2" t="inlineStr">
        <is>
          <t>2026-10-15T05:34:57Z</t>
        </is>
      </c>
      <c r="P90" s="2" t="n">
        <v>0</v>
      </c>
      <c r="Q90" s="8" t="n">
        <v>0</v>
      </c>
      <c r="R90" s="8" t="n">
        <v>1946.23</v>
      </c>
      <c r="S90" s="2" t="n">
        <v>68</v>
      </c>
      <c r="T90" s="2" t="n">
        <v>24</v>
      </c>
    </row>
    <row r="91">
      <c r="A91" s="2" t="n">
        <v>90</v>
      </c>
      <c r="B91" s="2" t="inlineStr">
        <is>
          <t>CcHEWcHcoj2NZQJK2Frwp2hDFfAJCU9mtzdk7gGCtDXm</t>
        </is>
      </c>
      <c r="C91" s="2" t="inlineStr">
        <is>
          <t>fomo</t>
        </is>
      </c>
      <c r="E91" s="8" t="n">
        <v>405.43</v>
      </c>
      <c r="F91" s="8" t="n">
        <v>0</v>
      </c>
      <c r="G91" s="8" t="n">
        <v>405.43</v>
      </c>
      <c r="H91" s="2" t="n">
        <v>103.25</v>
      </c>
      <c r="I91" s="8" t="n">
        <v>392.68</v>
      </c>
      <c r="J91" s="8" t="n">
        <v>798.11</v>
      </c>
      <c r="K91" s="2" t="n">
        <v>6</v>
      </c>
      <c r="L91" s="2" t="n">
        <v>5</v>
      </c>
      <c r="M91" s="2" t="inlineStr">
        <is>
          <t>2026-10-15T05:05:40Z</t>
        </is>
      </c>
      <c r="N91" s="2" t="inlineStr">
        <is>
          <t>2026-10-15T05:51:32Z</t>
        </is>
      </c>
      <c r="O91" s="2" t="n">
        <v>2753</v>
      </c>
      <c r="P91" s="2" t="n">
        <v>0</v>
      </c>
      <c r="Q91" s="8" t="n">
        <v>0</v>
      </c>
      <c r="R91" s="8" t="n">
        <v>-1697.71</v>
      </c>
      <c r="S91" s="2" t="n">
        <v>686</v>
      </c>
      <c r="T91" s="2" t="n">
        <v>189</v>
      </c>
    </row>
    <row r="92">
      <c r="A92" s="2" t="n">
        <v>91</v>
      </c>
      <c r="B92" s="2" t="inlineStr">
        <is>
          <t>3ASXct2jhBroVuKxRdXiDsip9bX3YoTmQGirHH9UCaiG</t>
        </is>
      </c>
      <c r="C92" s="2" t="inlineStr">
        <is>
          <t>pumpfun-app</t>
        </is>
      </c>
      <c r="D92" s="2" t="inlineStr">
        <is>
          <t>TenQuietWhale</t>
        </is>
      </c>
      <c r="E92" s="8" t="n">
        <v>404.24</v>
      </c>
      <c r="F92" s="8" t="n">
        <v>-4.21</v>
      </c>
      <c r="G92" s="8" t="n">
        <v>400.03</v>
      </c>
      <c r="H92" s="2" t="n">
        <v>127.52</v>
      </c>
      <c r="I92" s="8" t="n">
        <v>313.71</v>
      </c>
      <c r="J92" s="8" t="n">
        <v>441.13</v>
      </c>
      <c r="K92" s="2" t="n">
        <v>2</v>
      </c>
      <c r="L92" s="2" t="n">
        <v>2</v>
      </c>
      <c r="M92" s="2" t="inlineStr">
        <is>
          <t>2026-10-15T05:35:36Z</t>
        </is>
      </c>
      <c r="N92" s="2" t="inlineStr">
        <is>
          <t>2026-10-15T06:25:09Z</t>
        </is>
      </c>
      <c r="O92" s="2" t="n">
        <v>3023</v>
      </c>
      <c r="P92" s="2" t="n">
        <v>1112979.618551</v>
      </c>
      <c r="Q92" s="8" t="n">
        <v>272.61</v>
      </c>
      <c r="R92" s="8" t="n">
        <v>3817.14</v>
      </c>
      <c r="S92" s="2" t="n">
        <v>1198</v>
      </c>
      <c r="T92" s="2" t="n">
        <v>295</v>
      </c>
    </row>
    <row r="93">
      <c r="A93" s="2" t="n">
        <v>92</v>
      </c>
      <c r="B93" s="2" t="inlineStr">
        <is>
          <t>9ZepEnZGhtodtYqqtFxTRgrmk9z6MJy2kqVvhTPpaRes</t>
        </is>
      </c>
      <c r="C93" s="2" t="inlineStr">
        <is>
          <t>fomo;pumpfun-app</t>
        </is>
      </c>
      <c r="D93" s="2" t="inlineStr">
        <is>
          <t>expectedvalue</t>
        </is>
      </c>
      <c r="E93" s="8" t="n">
        <v>385.07</v>
      </c>
      <c r="F93" s="8" t="n">
        <v>0</v>
      </c>
      <c r="G93" s="8" t="n">
        <v>385.07</v>
      </c>
      <c r="H93" s="2" t="n">
        <v>129.32</v>
      </c>
      <c r="I93" s="8" t="n">
        <v>297.76</v>
      </c>
      <c r="J93" s="8" t="n">
        <v>546.29</v>
      </c>
      <c r="K93" s="2" t="n">
        <v>3</v>
      </c>
      <c r="L93" s="2" t="n">
        <v>5</v>
      </c>
      <c r="M93" s="2" t="inlineStr">
        <is>
          <t>2026-10-15T05:11:11Z</t>
        </is>
      </c>
      <c r="N93" s="2" t="inlineStr">
        <is>
          <t>2026-10-15T05:22:18Z</t>
        </is>
      </c>
      <c r="O93" s="2" t="n">
        <v>667</v>
      </c>
      <c r="P93" s="2" t="n">
        <v>0</v>
      </c>
      <c r="Q93" s="8" t="n">
        <v>0</v>
      </c>
      <c r="R93" s="8" t="n">
        <v>828.96</v>
      </c>
      <c r="S93" s="2" t="n">
        <v>8620</v>
      </c>
      <c r="T93" s="2" t="n">
        <v>1822</v>
      </c>
    </row>
    <row r="94">
      <c r="A94" s="2" t="n">
        <v>93</v>
      </c>
      <c r="B94" s="2" t="inlineStr">
        <is>
          <t>GAYeu4sM42VJANeJBJ4ckKyGD2gBcmrjMEtwwCe1yGBh</t>
        </is>
      </c>
      <c r="C94" s="2" t="inlineStr">
        <is>
          <t>axiom</t>
        </is>
      </c>
      <c r="E94" s="8" t="n">
        <v>382.33</v>
      </c>
      <c r="F94" s="8" t="n">
        <v>0</v>
      </c>
      <c r="G94" s="8" t="n">
        <v>382.33</v>
      </c>
      <c r="H94" s="2" t="n">
        <v>12.14</v>
      </c>
      <c r="I94" s="8" t="n">
        <v>3149.8</v>
      </c>
      <c r="J94" s="8" t="n">
        <v>3532.13</v>
      </c>
      <c r="K94" s="2" t="n">
        <v>16</v>
      </c>
      <c r="L94" s="2" t="n">
        <v>16</v>
      </c>
      <c r="M94" s="2" t="inlineStr">
        <is>
          <t>2026-10-15T05:10:52Z</t>
        </is>
      </c>
      <c r="N94" s="2" t="inlineStr">
        <is>
          <t>2026-10-15T06:24:22Z</t>
        </is>
      </c>
      <c r="O94" s="2" t="n">
        <v>4410</v>
      </c>
      <c r="P94" s="2" t="n">
        <v>0</v>
      </c>
      <c r="Q94" s="8" t="n">
        <v>0</v>
      </c>
      <c r="R94" s="8" t="n">
        <v>68005.91</v>
      </c>
      <c r="S94" s="2" t="n">
        <v>276658</v>
      </c>
      <c r="T94" s="2" t="n">
        <v>46831</v>
      </c>
    </row>
    <row r="95">
      <c r="A95" s="2" t="n">
        <v>94</v>
      </c>
      <c r="B95" s="2" t="inlineStr">
        <is>
          <t>2uYtHEunePGBDbAQFe9bX7Qnn4rx2FJa2PgPNRAEdmdC</t>
        </is>
      </c>
      <c r="C95" s="2" t="inlineStr">
        <is>
          <t>pumpfun-app</t>
        </is>
      </c>
      <c r="D95" s="2" t="inlineStr">
        <is>
          <t>VeiledFernLute</t>
        </is>
      </c>
      <c r="E95" s="8" t="n">
        <v>380.72</v>
      </c>
      <c r="F95" s="8" t="n">
        <v>0</v>
      </c>
      <c r="G95" s="8" t="n">
        <v>380.72</v>
      </c>
      <c r="H95" s="2" t="n">
        <v>9.66</v>
      </c>
      <c r="I95" s="8" t="n">
        <v>3940.37</v>
      </c>
      <c r="J95" s="8" t="n">
        <v>4321.09</v>
      </c>
      <c r="K95" s="2" t="n">
        <v>5</v>
      </c>
      <c r="L95" s="2" t="n">
        <v>4</v>
      </c>
      <c r="M95" s="2" t="inlineStr">
        <is>
          <t>2026-10-15T05:17:25Z</t>
        </is>
      </c>
      <c r="N95" s="2" t="inlineStr">
        <is>
          <t>2026-10-15T06:14:30Z</t>
        </is>
      </c>
      <c r="O95" s="2" t="n">
        <v>4115</v>
      </c>
      <c r="P95" s="2" t="n">
        <v>9.31323e-10</v>
      </c>
      <c r="Q95" s="8" t="n">
        <v>0</v>
      </c>
      <c r="R95" s="8" t="n">
        <v>349.2</v>
      </c>
      <c r="S95" s="2" t="n">
        <v>35</v>
      </c>
      <c r="T95" s="2" t="n">
        <v>8</v>
      </c>
    </row>
    <row r="96">
      <c r="A96" s="2" t="n">
        <v>95</v>
      </c>
      <c r="B96" s="2" t="inlineStr">
        <is>
          <t>zm5eRfVBJ9vvRS431ywSDMq5okhSaiZdb6BHSTB9WM4</t>
        </is>
      </c>
      <c r="C96" s="2" t="inlineStr">
        <is>
          <t>axiom</t>
        </is>
      </c>
      <c r="E96" s="8" t="n">
        <v>379.65</v>
      </c>
      <c r="F96" s="8" t="n">
        <v>0</v>
      </c>
      <c r="G96" s="8" t="n">
        <v>379.65</v>
      </c>
      <c r="H96" s="2" t="n">
        <v>423.08</v>
      </c>
      <c r="I96" s="8" t="n">
        <v>89.73</v>
      </c>
      <c r="J96" s="8" t="n">
        <v>469.39</v>
      </c>
      <c r="K96" s="2" t="n">
        <v>1</v>
      </c>
      <c r="L96" s="2" t="n">
        <v>28</v>
      </c>
      <c r="M96" s="2" t="inlineStr">
        <is>
          <t>2026-10-15T04:58:39Z</t>
        </is>
      </c>
      <c r="N96" s="2" t="inlineStr">
        <is>
          <t>2026-10-15T05:09:29Z</t>
        </is>
      </c>
      <c r="O96" s="2" t="n">
        <v>649</v>
      </c>
      <c r="P96" s="2" t="n">
        <v>0</v>
      </c>
      <c r="Q96" s="8" t="n">
        <v>0</v>
      </c>
      <c r="R96" s="8" t="n">
        <v>-1224.55</v>
      </c>
      <c r="S96" s="2" t="n">
        <v>2285</v>
      </c>
      <c r="T96" s="2" t="n">
        <v>653</v>
      </c>
    </row>
    <row r="97">
      <c r="A97" s="2" t="n">
        <v>96</v>
      </c>
      <c r="B97" s="2" t="inlineStr">
        <is>
          <t>EzbeF2bADKo6GutJyWmgodyGJFeBPhcrXSdZUXPX5WGc</t>
        </is>
      </c>
      <c r="C97" s="2" t="inlineStr">
        <is>
          <t>axiom;photon</t>
        </is>
      </c>
      <c r="E97" s="8" t="n">
        <v>378.92</v>
      </c>
      <c r="F97" s="8" t="n">
        <v>0</v>
      </c>
      <c r="G97" s="8" t="n">
        <v>378.92</v>
      </c>
      <c r="H97" s="2" t="n">
        <v>116.68</v>
      </c>
      <c r="I97" s="8" t="n">
        <v>324.76</v>
      </c>
      <c r="J97" s="8" t="n">
        <v>703.6799999999999</v>
      </c>
      <c r="K97" s="2" t="n">
        <v>7</v>
      </c>
      <c r="L97" s="2" t="n">
        <v>5</v>
      </c>
      <c r="M97" s="2" t="inlineStr">
        <is>
          <t>2026-10-15T04:59:23Z</t>
        </is>
      </c>
      <c r="N97" s="2" t="inlineStr">
        <is>
          <t>2026-10-15T05:04:52Z</t>
        </is>
      </c>
      <c r="O97" s="2" t="n">
        <v>330</v>
      </c>
      <c r="P97" s="2" t="n">
        <v>0</v>
      </c>
      <c r="Q97" s="8" t="n">
        <v>0</v>
      </c>
      <c r="R97" s="8" t="n">
        <v>2766463.19</v>
      </c>
      <c r="S97" s="2" t="n">
        <v>126952</v>
      </c>
      <c r="T97" s="2" t="n">
        <v>24155</v>
      </c>
    </row>
    <row r="98">
      <c r="A98" s="2" t="n">
        <v>97</v>
      </c>
      <c r="B98" s="2" t="inlineStr">
        <is>
          <t>CQmQeF6m6QPqrzSPJVApyTspGkgHQUkXsAskX6SgzeuK</t>
        </is>
      </c>
      <c r="C98" s="2" t="inlineStr">
        <is>
          <t>pumpfun-app</t>
        </is>
      </c>
      <c r="D98" s="2" t="inlineStr">
        <is>
          <t>needycrab76328</t>
        </is>
      </c>
      <c r="E98" s="8" t="n">
        <v>378.73</v>
      </c>
      <c r="F98" s="8" t="n">
        <v>156.96</v>
      </c>
      <c r="G98" s="8" t="n">
        <v>535.6900000000001</v>
      </c>
      <c r="H98" s="2" t="n">
        <v>185.96</v>
      </c>
      <c r="I98" s="8" t="n">
        <v>288.07</v>
      </c>
      <c r="J98" s="8" t="n">
        <v>578.63</v>
      </c>
      <c r="K98" s="2" t="n">
        <v>1</v>
      </c>
      <c r="L98" s="2" t="n">
        <v>2</v>
      </c>
      <c r="M98" s="2" t="inlineStr">
        <is>
          <t>2026-10-15T05:10:45Z</t>
        </is>
      </c>
      <c r="N98" s="2" t="inlineStr">
        <is>
          <t>2026-10-15T05:33:37Z</t>
        </is>
      </c>
      <c r="O98" s="2" t="n">
        <v>4515</v>
      </c>
      <c r="P98" s="2" t="n">
        <v>1000797.4349</v>
      </c>
      <c r="Q98" s="8" t="n">
        <v>245.13</v>
      </c>
      <c r="R98" s="8" t="n">
        <v>-18202.38</v>
      </c>
      <c r="S98" s="2" t="n">
        <v>1990</v>
      </c>
      <c r="T98" s="2" t="n">
        <v>431</v>
      </c>
    </row>
    <row r="99">
      <c r="A99" s="2" t="n">
        <v>98</v>
      </c>
      <c r="B99" s="2" t="inlineStr">
        <is>
          <t>HeMaQvWEQUj2e72LVUTaFzf2JmKFDCtzkuQxmbTLDcvw</t>
        </is>
      </c>
      <c r="C99" s="2" t="inlineStr">
        <is>
          <t>axiom</t>
        </is>
      </c>
      <c r="E99" s="8" t="n">
        <v>372.16</v>
      </c>
      <c r="F99" s="8" t="n">
        <v>0</v>
      </c>
      <c r="G99" s="8" t="n">
        <v>372.16</v>
      </c>
      <c r="H99" s="2" t="n">
        <v>92.04000000000001</v>
      </c>
      <c r="I99" s="8" t="n">
        <v>404.36</v>
      </c>
      <c r="J99" s="8" t="n">
        <v>776.51</v>
      </c>
      <c r="K99" s="2" t="n">
        <v>5</v>
      </c>
      <c r="L99" s="2" t="n">
        <v>5</v>
      </c>
      <c r="M99" s="2" t="inlineStr">
        <is>
          <t>2026-10-15T05:08:00Z</t>
        </is>
      </c>
      <c r="N99" s="2" t="inlineStr">
        <is>
          <t>2026-10-15T06:07:11Z</t>
        </is>
      </c>
      <c r="O99" s="2" t="n">
        <v>3550</v>
      </c>
      <c r="P99" s="2" t="n">
        <v>0</v>
      </c>
      <c r="Q99" s="8" t="n">
        <v>0</v>
      </c>
      <c r="R99" s="8" t="n">
        <v>-12051.65</v>
      </c>
      <c r="S99" s="2" t="n">
        <v>5607</v>
      </c>
      <c r="T99" s="2" t="n">
        <v>1560</v>
      </c>
    </row>
    <row r="100">
      <c r="A100" s="2" t="n">
        <v>99</v>
      </c>
      <c r="B100" s="2" t="inlineStr">
        <is>
          <t>GdiM7NF9RC6RDMhyLeWEsGv365x9L9vQfRdXSCwHAYSm</t>
        </is>
      </c>
      <c r="C100" s="2" t="inlineStr">
        <is>
          <t>fomo</t>
        </is>
      </c>
      <c r="D100" s="2" t="inlineStr">
        <is>
          <t>Lelouch</t>
        </is>
      </c>
      <c r="E100" s="8" t="n">
        <v>368.4</v>
      </c>
      <c r="F100" s="8" t="n">
        <v>0</v>
      </c>
      <c r="G100" s="8" t="n">
        <v>368.4</v>
      </c>
      <c r="H100" s="2" t="n">
        <v>32.65</v>
      </c>
      <c r="I100" s="8" t="n">
        <v>1128.5</v>
      </c>
      <c r="J100" s="8" t="n">
        <v>1496.91</v>
      </c>
      <c r="K100" s="2" t="n">
        <v>4</v>
      </c>
      <c r="L100" s="2" t="n">
        <v>7</v>
      </c>
      <c r="M100" s="2" t="inlineStr">
        <is>
          <t>2026-10-15T05:12:37Z</t>
        </is>
      </c>
      <c r="N100" s="2" t="inlineStr">
        <is>
          <t>2026-10-15T06:19:35Z</t>
        </is>
      </c>
      <c r="O100" s="2" t="n">
        <v>4017</v>
      </c>
      <c r="P100" s="2" t="n">
        <v>0</v>
      </c>
      <c r="Q100" s="8" t="n">
        <v>0</v>
      </c>
      <c r="R100" s="8" t="n">
        <v>319921.58</v>
      </c>
      <c r="S100" s="2" t="n">
        <v>29883</v>
      </c>
      <c r="T100" s="2" t="n">
        <v>6802</v>
      </c>
    </row>
    <row r="101">
      <c r="A101" s="2" t="n">
        <v>100</v>
      </c>
      <c r="B101" s="2" t="inlineStr">
        <is>
          <t>9NcLaNcchYqNo8HcrdCD3KjLdXcE2p3XZ8vw2EFaFdSJ</t>
        </is>
      </c>
      <c r="C101" s="2" t="inlineStr">
        <is>
          <t>potential_bot</t>
        </is>
      </c>
      <c r="E101" s="8" t="n">
        <v>362.49</v>
      </c>
      <c r="F101" s="8" t="n">
        <v>0</v>
      </c>
      <c r="G101" s="8" t="n">
        <v>362.49</v>
      </c>
      <c r="H101" s="2" t="n">
        <v>0</v>
      </c>
      <c r="I101" s="8" t="n">
        <v>0</v>
      </c>
      <c r="J101" s="8" t="n">
        <v>362.49</v>
      </c>
      <c r="K101" s="2" t="n">
        <v>0</v>
      </c>
      <c r="L101" s="2" t="n">
        <v>1</v>
      </c>
      <c r="M101" s="2" t="inlineStr">
        <is>
          <t>2026-10-15T05:37:41Z</t>
        </is>
      </c>
      <c r="N101" s="2" t="inlineStr">
        <is>
          <t>2026-10-15T05:37:41Z</t>
        </is>
      </c>
      <c r="P101" s="2" t="n">
        <v>0</v>
      </c>
      <c r="Q101" s="8" t="n">
        <v>0</v>
      </c>
      <c r="R101" s="8" t="n">
        <v>90327.61</v>
      </c>
      <c r="S101" s="2" t="n">
        <v>1151</v>
      </c>
      <c r="T101" s="2" t="n">
        <v>379</v>
      </c>
    </row>
  </sheetData>
  <autoFilter ref="A1:T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1" t="inlineStr">
        <is>
          <t>Tidak ada data dari GMGN.</t>
        </is>
      </c>
    </row>
    <row r="2">
      <c r="A2" s="2" t="inlineStr">
        <is>
          <t>Status: gagal</t>
        </is>
      </c>
    </row>
    <row r="3">
      <c r="A3"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90" customWidth="1" min="2" max="2"/>
    <col width="18" customWidth="1" min="3" max="3"/>
    <col width="60" customWidth="1" min="4" max="4"/>
    <col width="50" customWidth="1" min="5" max="5"/>
    <col width="21" customWidth="1" min="6" max="6"/>
    <col width="21" customWidth="1" min="7" max="7"/>
    <col width="14" customWidth="1" min="8" max="8"/>
    <col width="60" customWidth="1" min="9" max="9"/>
    <col width="60" customWidth="1" min="10" max="10"/>
  </cols>
  <sheetData>
    <row r="1">
      <c r="A1" s="1" t="inlineStr">
        <is>
          <t>Log run</t>
        </is>
      </c>
    </row>
    <row r="2"/>
    <row r="3">
      <c r="A3" s="3" t="inlineStr">
        <is>
          <t>Lingkungan dan parameter</t>
        </is>
      </c>
      <c r="B3" s="3" t="n"/>
      <c r="C3" s="3" t="n"/>
      <c r="D3" s="3" t="n"/>
      <c r="E3" s="3" t="n"/>
      <c r="F3" s="3" t="n"/>
      <c r="G3" s="3" t="n"/>
      <c r="H3" s="3" t="n"/>
      <c r="I3" s="3" t="n"/>
      <c r="J3" s="3" t="n"/>
    </row>
    <row r="4">
      <c r="A4" s="2" t="inlineStr">
        <is>
          <t>Suite</t>
        </is>
      </c>
      <c r="B4" s="2" t="inlineStr">
        <is>
          <t>1.0.0</t>
        </is>
      </c>
    </row>
    <row r="5">
      <c r="A5" s="2" t="inlineStr">
        <is>
          <t>Python</t>
        </is>
      </c>
      <c r="B5" s="2" t="inlineStr">
        <is>
          <t>3.14.6</t>
        </is>
      </c>
    </row>
    <row r="6">
      <c r="A6" s="2" t="inlineStr">
        <is>
          <t>Sistem operasi</t>
        </is>
      </c>
      <c r="B6" s="2" t="inlineStr">
        <is>
          <t>Windows-11-10.0.22000-SP0</t>
        </is>
      </c>
    </row>
    <row r="7">
      <c r="A7" s="2" t="inlineStr">
        <is>
          <t>openpyxl</t>
        </is>
      </c>
      <c r="B7" s="2" t="inlineStr">
        <is>
          <t>3.1.5</t>
        </is>
      </c>
    </row>
    <row r="8">
      <c r="A8" s="2" t="inlineStr">
        <is>
          <t>Mint</t>
        </is>
      </c>
      <c r="B8" s="2" t="inlineStr">
        <is>
          <t>CoHH4XfCpEcAuQga8iSr3hCta3vyFxYW6BtQRAV3xQMo</t>
        </is>
      </c>
    </row>
    <row r="9">
      <c r="A9" s="2" t="inlineStr">
        <is>
          <t>Snapshot (UTC)</t>
        </is>
      </c>
      <c r="B9" s="2" t="inlineStr">
        <is>
          <t>2026-10-15 06:26:26</t>
        </is>
      </c>
    </row>
    <row r="10">
      <c r="A10" s="2" t="inlineStr">
        <is>
          <t>Batas waktu per sumber (detik)</t>
        </is>
      </c>
      <c r="B10" s="2" t="n">
        <v>120</v>
      </c>
    </row>
    <row r="11">
      <c r="A11" s="2" t="inlineStr">
        <is>
          <t>Arsip raw JSON diminta</t>
        </is>
      </c>
      <c r="B11" s="2" t="inlineStr">
        <is>
          <t>ya</t>
        </is>
      </c>
    </row>
    <row r="12">
      <c r="A12" s="2" t="inlineStr">
        <is>
          <t>Ambang awal selisih (USD / relatif)</t>
        </is>
      </c>
      <c r="B12" s="2" t="inlineStr">
        <is>
          <t>10 / 25%</t>
        </is>
      </c>
    </row>
    <row r="13"/>
    <row r="14">
      <c r="A14" s="3" t="inlineStr">
        <is>
          <t>Proses per sumber (kunci API tidak pernah dicatat; setiap proses hanya menerima kuncinya sendiri)</t>
        </is>
      </c>
      <c r="B14" s="3" t="n"/>
      <c r="C14" s="3" t="n"/>
      <c r="D14" s="3" t="n"/>
      <c r="E14" s="3" t="n"/>
      <c r="F14" s="3" t="n"/>
      <c r="G14" s="3" t="n"/>
      <c r="H14" s="3" t="n"/>
      <c r="I14" s="3" t="n"/>
      <c r="J14" s="3" t="n"/>
    </row>
    <row r="15">
      <c r="A15" s="6" t="inlineStr">
        <is>
          <t>Sumber</t>
        </is>
      </c>
      <c r="B15" s="6" t="inlineStr">
        <is>
          <t>Status</t>
        </is>
      </c>
      <c r="C15" s="6" t="inlineStr">
        <is>
          <t>Kode keluar</t>
        </is>
      </c>
      <c r="D15" s="6" t="inlineStr">
        <is>
          <t>Perintah</t>
        </is>
      </c>
      <c r="E15" s="6" t="inlineStr">
        <is>
          <t>Folder kerja</t>
        </is>
      </c>
      <c r="F15" s="6" t="inlineStr">
        <is>
          <t>Mulai (UTC)</t>
        </is>
      </c>
      <c r="G15" s="6" t="inlineStr">
        <is>
          <t>Selesai (UTC)</t>
        </is>
      </c>
      <c r="H15" s="6" t="inlineStr">
        <is>
          <t>Durasi (dtk)</t>
        </is>
      </c>
      <c r="I15" s="6" t="inlineStr">
        <is>
          <t>Berkas</t>
        </is>
      </c>
      <c r="J15" s="6" t="inlineStr">
        <is>
          <t>Catatan</t>
        </is>
      </c>
    </row>
    <row r="16">
      <c r="A16" s="2" t="inlineStr">
        <is>
          <t>Vybe</t>
        </is>
      </c>
      <c r="B16" s="2" t="inlineStr">
        <is>
          <t>ok</t>
        </is>
      </c>
      <c r="C16" s="2" t="n">
        <v>0</v>
      </c>
      <c r="D16" s="2" t="inlineStr">
        <is>
          <t>C:\Python314\python.exe "D:\V 1.1 - backup\V1.2\top-trader-suite\vybe\main.py" CoHH4XfCpEcAuQga8iSr3hCta3vyFxYW6BtQRAV3xQMo</t>
        </is>
      </c>
      <c r="E16" s="2" t="inlineStr">
        <is>
          <t>D:\V 1.1 - backup\V1.2\top-trader-suite\output\_raw\CoHH4XfC_20261015_062626\vybe</t>
        </is>
      </c>
      <c r="F16" s="2" t="inlineStr">
        <is>
          <t>2026-10-15 06:26:26</t>
        </is>
      </c>
      <c r="G16" s="2" t="inlineStr">
        <is>
          <t>2026-10-15 06:26:32</t>
        </is>
      </c>
      <c r="H16" s="7" t="n">
        <v>6</v>
      </c>
      <c r="I16" s="2" t="inlineStr">
        <is>
          <t>top_traders_CoHH4XfCpEcAuQga8iSr3hCta3vyFxYW6BtQRAV3xQMo_20261015_062631.csv</t>
        </is>
      </c>
      <c r="J16" s="2" t="n"/>
    </row>
    <row r="17">
      <c r="A17" s="2" t="inlineStr">
        <is>
          <t>SolanaTracker</t>
        </is>
      </c>
      <c r="B17" s="2" t="inlineStr">
        <is>
          <t>ok</t>
        </is>
      </c>
      <c r="C17" s="2" t="n">
        <v>0</v>
      </c>
      <c r="D17" s="2" t="inlineStr">
        <is>
          <t>C:\Python314\python.exe "D:\V 1.1 - backup\V1.2\top-trader-suite\solanatracker\main.py" CoHH4XfCpEcAuQga8iSr3hCta3vyFxYW6BtQRAV3xQMo --raw</t>
        </is>
      </c>
      <c r="E17" s="2" t="inlineStr">
        <is>
          <t>D:\V 1.1 - backup\V1.2\top-trader-suite\output\_raw\CoHH4XfC_20261015_062626\solanatracker</t>
        </is>
      </c>
      <c r="F17" s="2" t="inlineStr">
        <is>
          <t>2026-10-15 06:26:26</t>
        </is>
      </c>
      <c r="G17" s="2" t="inlineStr">
        <is>
          <t>2026-10-15 06:26:32</t>
        </is>
      </c>
      <c r="H17" s="7" t="n">
        <v>6.1</v>
      </c>
      <c r="I17" s="2" t="inlineStr">
        <is>
          <t>solanatracker_top_traders_CoHH4XfCpEcAuQga8iSr3hCta3vyFxYW6BtQRAV3xQMo_20261015_062630.csv, solanatracker_top_traders_CoHH4XfCpEcAuQga8iSr3hCta3vyFxYW6BtQRAV3xQMo_20261015_062630.raw.json</t>
        </is>
      </c>
      <c r="J17" s="2" t="n"/>
    </row>
    <row r="18">
      <c r="A18" s="2" t="inlineStr">
        <is>
          <t>GMGN</t>
        </is>
      </c>
      <c r="B18" s="2" t="inlineStr">
        <is>
          <t>gagal</t>
        </is>
      </c>
      <c r="C18" s="2" t="n">
        <v>1</v>
      </c>
      <c r="D18" s="2" t="inlineStr">
        <is>
          <t>C:\Python314\python.exe "D:\V 1.1 - backup\V1.2\top-trader-suite\gmgn\main.py" CoHH4XfCpEcAuQga8iSr3hCta3vyFxYW6BtQRAV3xQMo --raw</t>
        </is>
      </c>
      <c r="E18" s="2" t="inlineStr">
        <is>
          <t>D:\V 1.1 - backup\V1.2\top-trader-suite\output\_raw\CoHH4XfC_20261015_062626\gmgn</t>
        </is>
      </c>
      <c r="F18" s="2" t="inlineStr">
        <is>
          <t>2026-10-15 06:26:26</t>
        </is>
      </c>
      <c r="G18" s="2" t="inlineStr">
        <is>
          <t>2026-10-15 06:26:29</t>
        </is>
      </c>
      <c r="H18" s="7" t="n">
        <v>3.4</v>
      </c>
      <c r="I18" s="2" t="n"/>
      <c r="J18"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row r="19"/>
    <row r="20">
      <c r="A20" s="3" t="inlineStr">
        <is>
          <t>Keluaran proses (dipotong bila panjang)</t>
        </is>
      </c>
      <c r="B20" s="3" t="n"/>
      <c r="C20" s="3" t="n"/>
      <c r="D20" s="3" t="n"/>
      <c r="E20" s="3" t="n"/>
      <c r="F20" s="3" t="n"/>
      <c r="G20" s="3" t="n"/>
      <c r="H20" s="3" t="n"/>
      <c r="I20" s="3" t="n"/>
      <c r="J20" s="3" t="n"/>
    </row>
    <row r="21">
      <c r="A21" s="11" t="inlineStr">
        <is>
          <t>Vybe stdout</t>
        </is>
      </c>
      <c r="B21" s="12" t="inlineStr">
        <is>
          <t xml:space="preserve">Created output\top_traders_CoHH4XfCpEcAuQga8iSr3hCta3vyFxYW6BtQRAV3xQMo_20261015_062631.csv (100 traders)
</t>
        </is>
      </c>
    </row>
    <row r="22">
      <c r="A22" s="11" t="inlineStr">
        <is>
          <t>SolanaTracker stdout</t>
        </is>
      </c>
      <c r="B22" s="12" t="inlineStr">
        <is>
          <t xml:space="preserve">Created output\solanatracker_top_traders_CoHH4XfCpEcAuQga8iSr3hCta3vyFxYW6BtQRAV3xQMo_20261015_062630.csv (100 traders) - NIHILISM (Nihilism)
</t>
        </is>
      </c>
    </row>
    <row r="23">
      <c r="A23" s="11" t="inlineStr">
        <is>
          <t>GMGN stderr</t>
        </is>
      </c>
      <c r="B23" s="12" t="inlineStr">
        <is>
          <t xml:space="preserve">Error: GMGN API error (HTTP 401): code=401 AUTH_TIMESTAMP_EXPIRED timestamp expired Check GMGN_API_KEY (the API key, not the private key). GMGN only works over IPv4, so disable IPv6 if the key is correct, and make sure this PC's clock is accurate (the server allows about 5 seconds of drift).
</t>
        </is>
      </c>
    </row>
    <row r="24"/>
    <row r="25">
      <c r="A25" s="3" t="inlineStr">
        <is>
          <t>Sidik jari kode (SHA-256, 16 karakter pertama) - untuk memastikan versi kode yang dijalankan</t>
        </is>
      </c>
      <c r="B25" s="3" t="n"/>
      <c r="C25" s="3" t="n"/>
      <c r="D25" s="3" t="n"/>
      <c r="E25" s="3" t="n"/>
      <c r="F25" s="3" t="n"/>
      <c r="G25" s="3" t="n"/>
      <c r="H25" s="3" t="n"/>
      <c r="I25" s="3" t="n"/>
      <c r="J25" s="3" t="n"/>
    </row>
    <row r="26">
      <c r="A26" s="6" t="inlineStr">
        <is>
          <t>Sumber</t>
        </is>
      </c>
      <c r="B26" s="6" t="inlineStr">
        <is>
          <t>Berkas</t>
        </is>
      </c>
      <c r="C26" s="6" t="inlineStr">
        <is>
          <t>SHA-256</t>
        </is>
      </c>
    </row>
    <row r="27">
      <c r="A27" s="2" t="inlineStr">
        <is>
          <t>Vybe</t>
        </is>
      </c>
      <c r="B27" s="2" t="inlineStr">
        <is>
          <t>main.py</t>
        </is>
      </c>
      <c r="C27" s="2" t="inlineStr">
        <is>
          <t>249919e2e3f83dbb</t>
        </is>
      </c>
    </row>
    <row r="28">
      <c r="A28" s="2" t="inlineStr">
        <is>
          <t>Vybe</t>
        </is>
      </c>
      <c r="B28" s="2" t="inlineStr">
        <is>
          <t>vybe.py</t>
        </is>
      </c>
      <c r="C28" s="2" t="inlineStr">
        <is>
          <t>f88ad250cbb9186d</t>
        </is>
      </c>
    </row>
    <row r="29">
      <c r="A29" s="2" t="inlineStr">
        <is>
          <t>Vybe</t>
        </is>
      </c>
      <c r="B29" s="2" t="inlineStr">
        <is>
          <t>csv_writer.py</t>
        </is>
      </c>
      <c r="C29" s="2" t="inlineStr">
        <is>
          <t>56cd7548f0763d3f</t>
        </is>
      </c>
    </row>
    <row r="30">
      <c r="A30" s="2" t="inlineStr">
        <is>
          <t>SolanaTracker</t>
        </is>
      </c>
      <c r="B30" s="2" t="inlineStr">
        <is>
          <t>main.py</t>
        </is>
      </c>
      <c r="C30" s="2" t="inlineStr">
        <is>
          <t>87e2df6587fb4f35</t>
        </is>
      </c>
    </row>
    <row r="31">
      <c r="A31" s="2" t="inlineStr">
        <is>
          <t>SolanaTracker</t>
        </is>
      </c>
      <c r="B31" s="2" t="inlineStr">
        <is>
          <t>solanatracker.py</t>
        </is>
      </c>
      <c r="C31" s="2" t="inlineStr">
        <is>
          <t>24dc000755d40d1b</t>
        </is>
      </c>
    </row>
    <row r="32">
      <c r="A32" s="2" t="inlineStr">
        <is>
          <t>SolanaTracker</t>
        </is>
      </c>
      <c r="B32" s="2" t="inlineStr">
        <is>
          <t>csv_writer.py</t>
        </is>
      </c>
      <c r="C32" s="2" t="inlineStr">
        <is>
          <t>95665c59391c53c0</t>
        </is>
      </c>
    </row>
    <row r="33">
      <c r="A33" s="2" t="inlineStr">
        <is>
          <t>GMGN</t>
        </is>
      </c>
      <c r="B33" s="2" t="inlineStr">
        <is>
          <t>main.py</t>
        </is>
      </c>
      <c r="C33" s="2" t="inlineStr">
        <is>
          <t>1e1e9abfe03032c3</t>
        </is>
      </c>
    </row>
    <row r="34">
      <c r="A34" s="2" t="inlineStr">
        <is>
          <t>GMGN</t>
        </is>
      </c>
      <c r="B34" s="2" t="inlineStr">
        <is>
          <t>gmgn.py</t>
        </is>
      </c>
      <c r="C34" s="2" t="inlineStr">
        <is>
          <t>9372cc27b33b6186</t>
        </is>
      </c>
    </row>
    <row r="35">
      <c r="A35" s="2" t="inlineStr">
        <is>
          <t>GMGN</t>
        </is>
      </c>
      <c r="B35" s="2" t="inlineStr">
        <is>
          <t>csv_writer.py</t>
        </is>
      </c>
      <c r="C35" s="2" t="inlineStr">
        <is>
          <t>c23305386940d1ab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2026-10-15T06:26:32Z</dcterms:created>
  <dcterms:modified xsi:type="dcterms:W3CDTF">2026-10-15T06:26:34Z</dcterms:modified>
</cp:coreProperties>
</file>