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Gabungan" sheetId="2" state="visible" r:id="rId2"/>
    <sheet name="Vybe" sheetId="3" state="visible" r:id="rId3"/>
    <sheet name="SolanaTracker" sheetId="4" state="visible" r:id="rId4"/>
    <sheet name="GMGN" sheetId="5" state="visible" r:id="rId5"/>
    <sheet name="Log" sheetId="6" state="visible" r:id="rId6"/>
  </sheets>
  <definedNames>
    <definedName name="_xlnm._FilterDatabase" localSheetId="1" hidden="1">'Gabungan'!$A$1:$V$101</definedName>
    <definedName name="_xlnm._FilterDatabase" localSheetId="3" hidden="1">'SolanaTracker'!$A$1:$T$101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Arial"/>
      <b val="1"/>
      <sz val="10"/>
    </font>
    <font>
      <name val="Arial"/>
      <b val="1"/>
      <sz val="13"/>
    </font>
    <font>
      <name val="Arial"/>
      <sz val="10"/>
    </font>
    <font>
      <name val="Arial"/>
      <color rgb="FF0000FF"/>
      <sz val="10"/>
    </font>
    <font>
      <name val="Arial"/>
      <b val="1"/>
      <color rgb="FFFFFFFF"/>
      <sz val="10"/>
    </font>
  </fonts>
  <fills count="5">
    <fill>
      <patternFill/>
    </fill>
    <fill>
      <patternFill patternType="gray125"/>
    </fill>
    <fill>
      <patternFill patternType="solid">
        <fgColor rgb="FFD9D9D9"/>
        <bgColor rgb="FFD9D9D9"/>
      </patternFill>
    </fill>
    <fill>
      <patternFill patternType="solid">
        <fgColor rgb="FFFFFF00"/>
        <bgColor rgb="FFFFFF00"/>
      </patternFill>
    </fill>
    <fill>
      <patternFill patternType="solid">
        <fgColor rgb="FF404040"/>
        <bgColor rgb="FF404040"/>
      </patternFill>
    </fill>
  </fills>
  <borders count="1">
    <border>
      <left/>
      <right/>
      <top/>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4" fontId="4" fillId="3" borderId="0" pivotButton="0" quotePrefix="0" xfId="0"/>
    <xf numFmtId="164" fontId="4" fillId="3" borderId="0" pivotButton="0" quotePrefix="0" xfId="0"/>
    <xf numFmtId="0" fontId="5" fillId="4" borderId="0" pivotButton="0" quotePrefix="0" xfId="0"/>
    <xf numFmtId="165" fontId="3" fillId="0" borderId="0" pivotButton="0" quotePrefix="0" xfId="0"/>
    <xf numFmtId="4" fontId="3" fillId="0" borderId="0" pivotButton="0" quotePrefix="0" xfId="0"/>
    <xf numFmtId="164" fontId="3" fillId="0" borderId="0" pivotButton="0" quotePrefix="0" xfId="0"/>
    <xf numFmtId="0" fontId="1" fillId="0" borderId="0" pivotButton="0" quotePrefix="0" xfId="0"/>
    <xf numFmtId="0" fontId="3" fillId="0" borderId="0" applyAlignment="1" pivotButton="0" quotePrefix="0" xfId="0">
      <alignment vertical="top" wrapText="1"/>
    </xf>
  </cellXfs>
  <cellStyles count="1">
    <cellStyle name="Normal" xfId="0" builtinId="0" hidden="0"/>
  </cellStyles>
  <dxfs count="1">
    <dxf>
      <fill>
        <patternFill patternType="solid">
          <fgColor rgb="FFFFE0B2"/>
          <bgColor rgb="FFFFE0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46" customWidth="1" min="1" max="1"/>
    <col width="24" customWidth="1" min="2" max="2"/>
    <col width="22" customWidth="1" min="3" max="3"/>
    <col width="22" customWidth="1" min="4" max="4"/>
    <col width="22" customWidth="1" min="5" max="5"/>
    <col width="22" customWidth="1" min="6" max="6"/>
    <col width="22" customWidth="1" min="7" max="7"/>
    <col width="22" customWidth="1" min="8" max="8"/>
    <col width="22" customWidth="1" min="9" max="9"/>
    <col width="60" customWidth="1" min="10" max="10"/>
  </cols>
  <sheetData>
    <row r="1">
      <c r="A1" s="1" t="inlineStr">
        <is>
          <t>Ringkasan run - audit lintas sumber</t>
        </is>
      </c>
    </row>
    <row r="2"/>
    <row r="3">
      <c r="A3" s="2" t="inlineStr">
        <is>
          <t>Mint</t>
        </is>
      </c>
      <c r="B3" s="2" t="inlineStr">
        <is>
          <t>2dv3wbMjaUuLiAsZcZaeCcRvuaHevpHetd9Bdjy3pump</t>
        </is>
      </c>
    </row>
    <row r="4">
      <c r="A4" s="2" t="inlineStr">
        <is>
          <t>Waktu snapshot (UTC)</t>
        </is>
      </c>
      <c r="B4" s="2" t="inlineStr">
        <is>
          <t>2026-10-15 07:14:06</t>
        </is>
      </c>
    </row>
    <row r="5">
      <c r="A5" s="2" t="inlineStr">
        <is>
          <t>Sumber diminta</t>
        </is>
      </c>
      <c r="B5" s="2" t="inlineStr">
        <is>
          <t>Vybe, SolanaTracker, GMGN</t>
        </is>
      </c>
    </row>
    <row r="6">
      <c r="A6" s="2" t="inlineStr">
        <is>
          <t>Sumber berhasil</t>
        </is>
      </c>
      <c r="B6" s="2" t="inlineStr">
        <is>
          <t>1 dari 3 (SolanaTracker)</t>
        </is>
      </c>
    </row>
    <row r="7">
      <c r="A7" s="2" t="inlineStr">
        <is>
          <t>Versi suite / Python</t>
        </is>
      </c>
      <c r="B7" s="2" t="inlineStr">
        <is>
          <t>1.0.0 / 3.14.6</t>
        </is>
      </c>
    </row>
    <row r="8"/>
    <row r="9">
      <c r="A9" s="3" t="inlineStr">
        <is>
          <t>Parameter (sel kuning boleh diubah; kolom flag_spread di sheet Gabungan dan hitungannya di sini ikut dihitung ulang)</t>
        </is>
      </c>
      <c r="B9" s="3" t="n"/>
      <c r="C9" s="3" t="n"/>
      <c r="D9" s="3" t="n"/>
      <c r="E9" s="3" t="n"/>
      <c r="F9" s="3" t="n"/>
      <c r="G9" s="3" t="n"/>
      <c r="H9" s="3" t="n"/>
      <c r="I9" s="3" t="n"/>
      <c r="J9" s="3" t="n"/>
    </row>
    <row r="10">
      <c r="A10" s="2" t="inlineStr">
        <is>
          <t>Ambang selisih realized (USD) &gt;=</t>
        </is>
      </c>
      <c r="B10" s="4" t="n">
        <v>10</v>
      </c>
    </row>
    <row r="11">
      <c r="A11" s="2" t="inlineStr">
        <is>
          <t>Ambang selisih relatif &gt;=</t>
        </is>
      </c>
      <c r="B11" s="5" t="n">
        <v>0.25</v>
      </c>
    </row>
    <row r="12">
      <c r="A12" s="2" t="inlineStr">
        <is>
          <t>Nilai awal berasal dari argumen --spread-usd dan --spread-pct. Selisih relatif = (tertinggi - terendah) / nilai absolut terbesar.</t>
        </is>
      </c>
    </row>
    <row r="13"/>
    <row r="14">
      <c r="A14" s="3" t="inlineStr">
        <is>
          <t>Status per sumber</t>
        </is>
      </c>
      <c r="B14" s="3" t="n"/>
      <c r="C14" s="3" t="n"/>
      <c r="D14" s="3" t="n"/>
      <c r="E14" s="3" t="n"/>
      <c r="F14" s="3" t="n"/>
      <c r="G14" s="3" t="n"/>
      <c r="H14" s="3" t="n"/>
      <c r="I14" s="3" t="n"/>
      <c r="J14" s="3" t="n"/>
    </row>
    <row r="15">
      <c r="A15" s="6" t="inlineStr">
        <is>
          <t>Sumber</t>
        </is>
      </c>
      <c r="B15" s="6" t="inlineStr">
        <is>
          <t>Status</t>
        </is>
      </c>
      <c r="C15" s="6" t="inlineStr">
        <is>
          <t>Baris</t>
        </is>
      </c>
      <c r="D15" s="6" t="inlineStr">
        <is>
          <t>Mulai (UTC)</t>
        </is>
      </c>
      <c r="E15" s="6" t="inlineStr">
        <is>
          <t>Selesai (UTC)</t>
        </is>
      </c>
      <c r="F15" s="6" t="inlineStr">
        <is>
          <t>Durasi (dtk)</t>
        </is>
      </c>
      <c r="G15" s="6" t="inlineStr">
        <is>
          <t>Aktivitas terbaru di daftar (UTC)</t>
        </is>
      </c>
      <c r="H15" s="6" t="inlineStr">
        <is>
          <t>Selisih ke waktu selesai (menit)</t>
        </is>
      </c>
      <c r="I15" s="6" t="inlineStr">
        <is>
          <t>Aktivitas tertua di daftar (UTC)</t>
        </is>
      </c>
      <c r="J15" s="6" t="inlineStr">
        <is>
          <t>Catatan</t>
        </is>
      </c>
    </row>
    <row r="16">
      <c r="A16" s="2" t="inlineStr">
        <is>
          <t>Vybe</t>
        </is>
      </c>
      <c r="B16" s="2" t="inlineStr">
        <is>
          <t>gagal</t>
        </is>
      </c>
      <c r="C16" s="2" t="n"/>
      <c r="D16" s="2" t="inlineStr">
        <is>
          <t>2026-10-15 07:14:06</t>
        </is>
      </c>
      <c r="E16" s="2" t="inlineStr">
        <is>
          <t>2026-10-15 07:14:08</t>
        </is>
      </c>
      <c r="F16" s="7" t="n">
        <v>2</v>
      </c>
      <c r="G16" s="2" t="n"/>
      <c r="H16" s="7" t="n"/>
      <c r="I16" s="2" t="n"/>
      <c r="J16" s="2" t="inlineStr">
        <is>
          <t>Error: Vybe returned no traders for this token.</t>
        </is>
      </c>
    </row>
    <row r="17">
      <c r="A17" s="2" t="inlineStr">
        <is>
          <t>SolanaTracker</t>
        </is>
      </c>
      <c r="B17" s="2" t="inlineStr">
        <is>
          <t>ok</t>
        </is>
      </c>
      <c r="C17" s="2" t="n">
        <v>100</v>
      </c>
      <c r="D17" s="2" t="inlineStr">
        <is>
          <t>2026-10-15 07:14:06</t>
        </is>
      </c>
      <c r="E17" s="2" t="inlineStr">
        <is>
          <t>2026-10-15 07:14:09</t>
        </is>
      </c>
      <c r="F17" s="7" t="n">
        <v>2.6</v>
      </c>
      <c r="G17" s="2" t="inlineStr">
        <is>
          <t>2026-09-14 21:45:18</t>
        </is>
      </c>
      <c r="H17" s="7" t="n">
        <v>43768.9</v>
      </c>
      <c r="I17" s="2" t="inlineStr">
        <is>
          <t>2026-09-13 07:31:42</t>
        </is>
      </c>
      <c r="J17" s="2" t="inlineStr"/>
    </row>
    <row r="18">
      <c r="A18" s="2" t="inlineStr">
        <is>
          <t>GMGN</t>
        </is>
      </c>
      <c r="B18" s="2" t="inlineStr">
        <is>
          <t>gagal</t>
        </is>
      </c>
      <c r="C18" s="2" t="n"/>
      <c r="D18" s="2" t="inlineStr">
        <is>
          <t>2026-10-15 07:14:06</t>
        </is>
      </c>
      <c r="E18" s="2" t="inlineStr">
        <is>
          <t>2026-10-15 07:14:08</t>
        </is>
      </c>
      <c r="F18" s="7" t="n">
        <v>1.6</v>
      </c>
      <c r="G18" s="2" t="n"/>
      <c r="H18" s="7" t="n"/>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c r="A19" s="2" t="inlineStr">
        <is>
          <t>'Aktivitas terbaru/tertua' hanya dari wallet yang ada di daftar (bukan seluruh token), jadi menunjukkan perkiraan kasar keterlambatan data.</t>
        </is>
      </c>
    </row>
    <row r="20">
      <c r="A20" s="2" t="inlineStr">
        <is>
          <t>Aktivitas tertua yang terlihat: 2026-09-13 07:31:42 UTC (sekitar 767.71 jam sebelum snapshot).</t>
        </is>
      </c>
    </row>
    <row r="21"/>
    <row r="22">
      <c r="A22" s="3" t="inlineStr">
        <is>
          <t>Catatan</t>
        </is>
      </c>
      <c r="B22" s="3" t="n"/>
      <c r="C22" s="3" t="n"/>
      <c r="D22" s="3" t="n"/>
      <c r="E22" s="3" t="n"/>
      <c r="F22" s="3" t="n"/>
      <c r="G22" s="3" t="n"/>
      <c r="H22" s="3" t="n"/>
      <c r="I22" s="3" t="n"/>
      <c r="J22" s="3" t="n"/>
    </row>
    <row r="23">
      <c r="A23" s="2" t="inlineStr">
        <is>
          <t>Yang dibandingkan hanya realized PnL. Unrealized bergantung pada harga yang dipakai tiap provider saat menghitung, jadi hanya indikatif dan tidak dinilai selisihnya.</t>
        </is>
      </c>
    </row>
    <row r="24">
      <c r="A24" s="2" t="inlineStr">
        <is>
          <t>Hanya satu sumber yang berhasil, jadi perbandingan lintas sumber tidak tersedia.</t>
        </is>
      </c>
    </row>
    <row r="25">
      <c r="A25" s="2" t="inlineStr">
        <is>
          <t>SolanaTracker mengembalikan 100 baris (batas 100). Wallet di luar daftar tidak terlihat, jadi 'hanya di satu sumber' bisa disebabkan daftar yang terpotong.</t>
        </is>
      </c>
    </row>
    <row r="26"/>
    <row r="27">
      <c r="A27" s="3" t="inlineStr">
        <is>
          <t>Kamus kolom sheet Gabungan</t>
        </is>
      </c>
      <c r="B27" s="3" t="n"/>
      <c r="C27" s="3" t="n"/>
      <c r="D27" s="3" t="n"/>
      <c r="E27" s="3" t="n"/>
      <c r="F27" s="3" t="n"/>
      <c r="G27" s="3" t="n"/>
      <c r="H27" s="3" t="n"/>
      <c r="I27" s="3" t="n"/>
      <c r="J27" s="3" t="n"/>
    </row>
    <row r="28">
      <c r="A28" s="2" t="inlineStr">
        <is>
          <t>rank_*: peringkat wallet di CSV provider itu (urutan realized PnL); kosong = wallet tidak ada di daftar provider itu.</t>
        </is>
      </c>
    </row>
    <row r="29">
      <c r="A29" s="2" t="inlineStr">
        <is>
          <t>realized_*: realized_pnl_usd apa adanya dari provider; tidak ada rata-rata dan tidak ada penyatuan definisi.</t>
        </is>
      </c>
    </row>
    <row r="30">
      <c r="A30" s="2" t="inlineStr">
        <is>
          <t>n_sources, spread_usd, spread_pct, flag_spread: rumus Excel. spread = realized tertinggi dikurangi terendah di antara provider yang memuat wallet.</t>
        </is>
      </c>
    </row>
    <row r="31">
      <c r="A31" s="2" t="inlineStr">
        <is>
          <t>only_in: provider yang satu-satunya memuat wallet (hanya diisi bila &gt;= 2 provider berhasil). Waspada: bisa karena daftar terpotong.</t>
        </is>
      </c>
    </row>
    <row r="32">
      <c r="A32" s="2" t="inlineStr">
        <is>
          <t>role_disagreement: peran (dev, kol, smart_money, sniper, bundler, bot, arbitrage, pool_or_exchange) yang hanya dimiliki sebagian provider. Pemetaan label sederhana di suite/labels.py; hanya provider yang memberi label pada setidaknya satu wallet di run ini yang dibandingkan.</t>
        </is>
      </c>
    </row>
    <row r="33">
      <c r="A33" s="2" t="inlineStr">
        <is>
          <t>sheet_row_*: nomor baris wallet di sheet mentah provider itu, untuk menelusuri angka ke sumbernya.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19" customWidth="1" min="3" max="3"/>
    <col width="26" customWidth="1" min="4" max="4"/>
    <col width="11" customWidth="1" min="5" max="5"/>
    <col width="20" customWidth="1" min="6" max="6"/>
    <col width="11" customWidth="1" min="7" max="7"/>
    <col width="15" customWidth="1" min="8" max="8"/>
    <col width="24" customWidth="1" min="9" max="9"/>
    <col width="15" customWidth="1" min="10" max="10"/>
    <col width="48" customWidth="1" min="11" max="11"/>
    <col width="48" customWidth="1" min="12" max="12"/>
    <col width="48" customWidth="1" min="13" max="13"/>
    <col width="9" customWidth="1" min="14" max="14"/>
    <col width="38" customWidth="1" min="15" max="15"/>
    <col width="13" customWidth="1" min="16" max="16"/>
    <col width="34" customWidth="1" min="17" max="17"/>
    <col width="13" customWidth="1" min="18" max="18"/>
    <col width="46" customWidth="1" min="19" max="19"/>
    <col width="16" customWidth="1" min="20" max="20"/>
    <col width="25" customWidth="1" min="21" max="21"/>
    <col width="16" customWidth="1" min="22" max="22"/>
  </cols>
  <sheetData>
    <row r="1">
      <c r="A1" s="6" t="inlineStr">
        <is>
          <t>wallet</t>
        </is>
      </c>
      <c r="B1" s="6" t="inlineStr">
        <is>
          <t>name</t>
        </is>
      </c>
      <c r="C1" s="6" t="inlineStr">
        <is>
          <t>n_sources</t>
        </is>
      </c>
      <c r="D1" s="6" t="inlineStr">
        <is>
          <t>sources</t>
        </is>
      </c>
      <c r="E1" s="6" t="inlineStr">
        <is>
          <t>rank_vybe</t>
        </is>
      </c>
      <c r="F1" s="6" t="inlineStr">
        <is>
          <t>rank_solanatracker</t>
        </is>
      </c>
      <c r="G1" s="6" t="inlineStr">
        <is>
          <t>rank_gmgn</t>
        </is>
      </c>
      <c r="H1" s="6" t="inlineStr">
        <is>
          <t>realized_vybe</t>
        </is>
      </c>
      <c r="I1" s="6" t="inlineStr">
        <is>
          <t>realized_solanatracker</t>
        </is>
      </c>
      <c r="J1" s="6" t="inlineStr">
        <is>
          <t>realized_gmgn</t>
        </is>
      </c>
      <c r="K1" s="6" t="inlineStr">
        <is>
          <t>spread_usd</t>
        </is>
      </c>
      <c r="L1" s="6" t="inlineStr">
        <is>
          <t>spread_pct</t>
        </is>
      </c>
      <c r="M1" s="6" t="inlineStr">
        <is>
          <t>flag_spread</t>
        </is>
      </c>
      <c r="N1" s="6" t="inlineStr">
        <is>
          <t>only_in</t>
        </is>
      </c>
      <c r="O1" s="6" t="inlineStr">
        <is>
          <t>role_disagreement</t>
        </is>
      </c>
      <c r="P1" s="6" t="inlineStr">
        <is>
          <t>labels_vybe</t>
        </is>
      </c>
      <c r="Q1" s="6" t="inlineStr">
        <is>
          <t>labels_solanatracker</t>
        </is>
      </c>
      <c r="R1" s="6" t="inlineStr">
        <is>
          <t>labels_gmgn</t>
        </is>
      </c>
      <c r="S1" s="6" t="inlineStr">
        <is>
          <t>funded_by_gmgn</t>
        </is>
      </c>
      <c r="T1" s="6" t="inlineStr">
        <is>
          <t>sheet_row_vybe</t>
        </is>
      </c>
      <c r="U1" s="6" t="inlineStr">
        <is>
          <t>sheet_row_solanatracker</t>
        </is>
      </c>
      <c r="V1" s="6" t="inlineStr">
        <is>
          <t>sheet_row_gmgn</t>
        </is>
      </c>
    </row>
    <row r="2">
      <c r="A2" s="2" t="inlineStr">
        <is>
          <t>vmjPqPtBmd6aoPbqQC7iPk9ToaNx1HCUFyNHm7BjZy6</t>
        </is>
      </c>
      <c r="B2" s="2" t="n"/>
      <c r="C2" s="2">
        <f>COUNT(E2:G2)</f>
        <v/>
      </c>
      <c r="D2" s="2" t="inlineStr">
        <is>
          <t>SolanaTracker</t>
        </is>
      </c>
      <c r="E2" s="2" t="n"/>
      <c r="F2" s="2" t="n">
        <v>1</v>
      </c>
      <c r="G2" s="2" t="n"/>
      <c r="H2" s="8" t="n"/>
      <c r="I2" s="8" t="n">
        <v>5211.24</v>
      </c>
      <c r="J2" s="8" t="n"/>
      <c r="K2" s="8">
        <f>IF(COUNT(H2:J2)&gt;=2,MAX(H2:J2)-MIN(H2:J2),"")</f>
        <v/>
      </c>
      <c r="L2" s="9">
        <f>IF(ISNUMBER(K2),IF(MAX(ABS(MAX(H2:J2)),ABS(MIN(H2:J2)))=0,"",K2/MAX(ABS(MAX(H2:J2)),ABS(MIN(H2:J2)))),"")</f>
        <v/>
      </c>
      <c r="M2" s="2">
        <f>IF(AND(ISNUMBER(K2),ISNUMBER(L2)),IF(AND(K2&gt;=Ringkasan!$B$10,L2&gt;=Ringkasan!$B$11),"yes",""),"")</f>
        <v/>
      </c>
      <c r="N2" s="2" t="n"/>
      <c r="O2" s="2" t="n"/>
      <c r="Q2" s="2" t="n"/>
      <c r="S2" s="2" t="n"/>
      <c r="U2" s="2" t="n">
        <v>2</v>
      </c>
    </row>
    <row r="3">
      <c r="A3" s="2" t="inlineStr">
        <is>
          <t>2heJbC32Tpfcb3nbUb5ER61K11FGZVfVGtVnDm6LDogF</t>
        </is>
      </c>
      <c r="B3" s="2" t="inlineStr">
        <is>
          <t>Unipcs</t>
        </is>
      </c>
      <c r="C3" s="2">
        <f>COUNT(E3:G3)</f>
        <v/>
      </c>
      <c r="D3" s="2" t="inlineStr">
        <is>
          <t>SolanaTracker</t>
        </is>
      </c>
      <c r="E3" s="2" t="n"/>
      <c r="F3" s="2" t="n">
        <v>2</v>
      </c>
      <c r="G3" s="2" t="n"/>
      <c r="H3" s="8" t="n"/>
      <c r="I3" s="8" t="n">
        <v>3794.28</v>
      </c>
      <c r="J3" s="8" t="n"/>
      <c r="K3" s="8">
        <f>IF(COUNT(H3:J3)&gt;=2,MAX(H3:J3)-MIN(H3:J3),"")</f>
        <v/>
      </c>
      <c r="L3" s="9">
        <f>IF(ISNUMBER(K3),IF(MAX(ABS(MAX(H3:J3)),ABS(MIN(H3:J3)))=0,"",K3/MAX(ABS(MAX(H3:J3)),ABS(MIN(H3:J3)))),"")</f>
        <v/>
      </c>
      <c r="M3" s="2">
        <f>IF(AND(ISNUMBER(K3),ISNUMBER(L3)),IF(AND(K3&gt;=Ringkasan!$B$10,L3&gt;=Ringkasan!$B$11),"yes",""),"")</f>
        <v/>
      </c>
      <c r="N3" s="2" t="n"/>
      <c r="O3" s="2" t="n"/>
      <c r="Q3" s="2" t="inlineStr">
        <is>
          <t>fomo</t>
        </is>
      </c>
      <c r="S3" s="2" t="n"/>
      <c r="U3" s="2" t="n">
        <v>3</v>
      </c>
    </row>
    <row r="4">
      <c r="A4" s="2" t="inlineStr">
        <is>
          <t>DxM1hfY8FQ8dNGrucuJzhJcF8KRbjk8WBwrgKvQ9spPv</t>
        </is>
      </c>
      <c r="B4" s="2" t="inlineStr">
        <is>
          <t>RC</t>
        </is>
      </c>
      <c r="C4" s="2">
        <f>COUNT(E4:G4)</f>
        <v/>
      </c>
      <c r="D4" s="2" t="inlineStr">
        <is>
          <t>SolanaTracker</t>
        </is>
      </c>
      <c r="E4" s="2" t="n"/>
      <c r="F4" s="2" t="n">
        <v>3</v>
      </c>
      <c r="G4" s="2" t="n"/>
      <c r="H4" s="8" t="n"/>
      <c r="I4" s="8" t="n">
        <v>3368.07</v>
      </c>
      <c r="J4" s="8" t="n"/>
      <c r="K4" s="8">
        <f>IF(COUNT(H4:J4)&gt;=2,MAX(H4:J4)-MIN(H4:J4),"")</f>
        <v/>
      </c>
      <c r="L4" s="9">
        <f>IF(ISNUMBER(K4),IF(MAX(ABS(MAX(H4:J4)),ABS(MIN(H4:J4)))=0,"",K4/MAX(ABS(MAX(H4:J4)),ABS(MIN(H4:J4)))),"")</f>
        <v/>
      </c>
      <c r="M4" s="2">
        <f>IF(AND(ISNUMBER(K4),ISNUMBER(L4)),IF(AND(K4&gt;=Ringkasan!$B$10,L4&gt;=Ringkasan!$B$11),"yes",""),"")</f>
        <v/>
      </c>
      <c r="N4" s="2" t="n"/>
      <c r="O4" s="2" t="n"/>
      <c r="Q4" s="2" t="inlineStr">
        <is>
          <t>fomo</t>
        </is>
      </c>
      <c r="S4" s="2" t="n"/>
      <c r="U4" s="2" t="n">
        <v>4</v>
      </c>
    </row>
    <row r="5">
      <c r="A5" s="2" t="inlineStr">
        <is>
          <t>Grxv8ZJXoeEijZf1GHmMzApoq8Z6TneXhgF6ydgLANd3</t>
        </is>
      </c>
      <c r="B5" s="2" t="inlineStr">
        <is>
          <t>tobyyyyxx</t>
        </is>
      </c>
      <c r="C5" s="2">
        <f>COUNT(E5:G5)</f>
        <v/>
      </c>
      <c r="D5" s="2" t="inlineStr">
        <is>
          <t>SolanaTracker</t>
        </is>
      </c>
      <c r="E5" s="2" t="n"/>
      <c r="F5" s="2" t="n">
        <v>4</v>
      </c>
      <c r="G5" s="2" t="n"/>
      <c r="H5" s="8" t="n"/>
      <c r="I5" s="8" t="n">
        <v>1844.09</v>
      </c>
      <c r="J5" s="8" t="n"/>
      <c r="K5" s="8">
        <f>IF(COUNT(H5:J5)&gt;=2,MAX(H5:J5)-MIN(H5:J5),"")</f>
        <v/>
      </c>
      <c r="L5" s="9">
        <f>IF(ISNUMBER(K5),IF(MAX(ABS(MAX(H5:J5)),ABS(MIN(H5:J5)))=0,"",K5/MAX(ABS(MAX(H5:J5)),ABS(MIN(H5:J5)))),"")</f>
        <v/>
      </c>
      <c r="M5" s="2">
        <f>IF(AND(ISNUMBER(K5),ISNUMBER(L5)),IF(AND(K5&gt;=Ringkasan!$B$10,L5&gt;=Ringkasan!$B$11),"yes",""),"")</f>
        <v/>
      </c>
      <c r="N5" s="2" t="n"/>
      <c r="O5" s="2" t="n"/>
      <c r="Q5" s="2" t="inlineStr">
        <is>
          <t>pumpfun-app</t>
        </is>
      </c>
      <c r="S5" s="2" t="n"/>
      <c r="U5" s="2" t="n">
        <v>5</v>
      </c>
    </row>
    <row r="6">
      <c r="A6" s="2" t="inlineStr">
        <is>
          <t>6eZDCJSLfqDn8wK7quMp5nNg6dnfCZLDETXb4TQyA3Vn</t>
        </is>
      </c>
      <c r="B6" s="2" t="n"/>
      <c r="C6" s="2">
        <f>COUNT(E6:G6)</f>
        <v/>
      </c>
      <c r="D6" s="2" t="inlineStr">
        <is>
          <t>SolanaTracker</t>
        </is>
      </c>
      <c r="E6" s="2" t="n"/>
      <c r="F6" s="2" t="n">
        <v>5</v>
      </c>
      <c r="G6" s="2" t="n"/>
      <c r="H6" s="8" t="n"/>
      <c r="I6" s="8" t="n">
        <v>1294.27</v>
      </c>
      <c r="J6" s="8" t="n"/>
      <c r="K6" s="8">
        <f>IF(COUNT(H6:J6)&gt;=2,MAX(H6:J6)-MIN(H6:J6),"")</f>
        <v/>
      </c>
      <c r="L6" s="9">
        <f>IF(ISNUMBER(K6),IF(MAX(ABS(MAX(H6:J6)),ABS(MIN(H6:J6)))=0,"",K6/MAX(ABS(MAX(H6:J6)),ABS(MIN(H6:J6)))),"")</f>
        <v/>
      </c>
      <c r="M6" s="2">
        <f>IF(AND(ISNUMBER(K6),ISNUMBER(L6)),IF(AND(K6&gt;=Ringkasan!$B$10,L6&gt;=Ringkasan!$B$11),"yes",""),"")</f>
        <v/>
      </c>
      <c r="N6" s="2" t="n"/>
      <c r="O6" s="2" t="n"/>
      <c r="Q6" s="2" t="inlineStr">
        <is>
          <t>gmgn</t>
        </is>
      </c>
      <c r="S6" s="2" t="n"/>
      <c r="U6" s="2" t="n">
        <v>6</v>
      </c>
    </row>
    <row r="7">
      <c r="A7" s="2" t="inlineStr">
        <is>
          <t>Ekzeu68uMstaYDT6CWnr5zDoskDbdv7qeGzW4fj4z3XJ</t>
        </is>
      </c>
      <c r="B7" s="2" t="n"/>
      <c r="C7" s="2">
        <f>COUNT(E7:G7)</f>
        <v/>
      </c>
      <c r="D7" s="2" t="inlineStr">
        <is>
          <t>SolanaTracker</t>
        </is>
      </c>
      <c r="E7" s="2" t="n"/>
      <c r="F7" s="2" t="n">
        <v>6</v>
      </c>
      <c r="G7" s="2" t="n"/>
      <c r="H7" s="8" t="n"/>
      <c r="I7" s="8" t="n">
        <v>1218.45</v>
      </c>
      <c r="J7" s="8" t="n"/>
      <c r="K7" s="8">
        <f>IF(COUNT(H7:J7)&gt;=2,MAX(H7:J7)-MIN(H7:J7),"")</f>
        <v/>
      </c>
      <c r="L7" s="9">
        <f>IF(ISNUMBER(K7),IF(MAX(ABS(MAX(H7:J7)),ABS(MIN(H7:J7)))=0,"",K7/MAX(ABS(MAX(H7:J7)),ABS(MIN(H7:J7)))),"")</f>
        <v/>
      </c>
      <c r="M7" s="2">
        <f>IF(AND(ISNUMBER(K7),ISNUMBER(L7)),IF(AND(K7&gt;=Ringkasan!$B$10,L7&gt;=Ringkasan!$B$11),"yes",""),"")</f>
        <v/>
      </c>
      <c r="N7" s="2" t="n"/>
      <c r="O7" s="2" t="n"/>
      <c r="Q7" s="2" t="n"/>
      <c r="S7" s="2" t="n"/>
      <c r="U7" s="2" t="n">
        <v>7</v>
      </c>
    </row>
    <row r="8">
      <c r="A8" s="2" t="inlineStr">
        <is>
          <t>5WXdKS7mAEdcjNnLXUH2E71bRkCJR3zsZKzQ1YyeC8ed</t>
        </is>
      </c>
      <c r="B8" s="2" t="n"/>
      <c r="C8" s="2">
        <f>COUNT(E8:G8)</f>
        <v/>
      </c>
      <c r="D8" s="2" t="inlineStr">
        <is>
          <t>SolanaTracker</t>
        </is>
      </c>
      <c r="E8" s="2" t="n"/>
      <c r="F8" s="2" t="n">
        <v>7</v>
      </c>
      <c r="G8" s="2" t="n"/>
      <c r="H8" s="8" t="n"/>
      <c r="I8" s="8" t="n">
        <v>1195.28</v>
      </c>
      <c r="J8" s="8" t="n"/>
      <c r="K8" s="8">
        <f>IF(COUNT(H8:J8)&gt;=2,MAX(H8:J8)-MIN(H8:J8),"")</f>
        <v/>
      </c>
      <c r="L8" s="9">
        <f>IF(ISNUMBER(K8),IF(MAX(ABS(MAX(H8:J8)),ABS(MIN(H8:J8)))=0,"",K8/MAX(ABS(MAX(H8:J8)),ABS(MIN(H8:J8)))),"")</f>
        <v/>
      </c>
      <c r="M8" s="2">
        <f>IF(AND(ISNUMBER(K8),ISNUMBER(L8)),IF(AND(K8&gt;=Ringkasan!$B$10,L8&gt;=Ringkasan!$B$11),"yes",""),"")</f>
        <v/>
      </c>
      <c r="N8" s="2" t="n"/>
      <c r="O8" s="2" t="n"/>
      <c r="Q8" s="2" t="n"/>
      <c r="S8" s="2" t="n"/>
      <c r="U8" s="2" t="n">
        <v>8</v>
      </c>
    </row>
    <row r="9">
      <c r="A9" s="2" t="inlineStr">
        <is>
          <t>FKsGmsFcGGGEzyacAZQhK4E4R49r3VZFufPsFQJ9aaRn</t>
        </is>
      </c>
      <c r="B9" s="2" t="n"/>
      <c r="C9" s="2">
        <f>COUNT(E9:G9)</f>
        <v/>
      </c>
      <c r="D9" s="2" t="inlineStr">
        <is>
          <t>SolanaTracker</t>
        </is>
      </c>
      <c r="E9" s="2" t="n"/>
      <c r="F9" s="2" t="n">
        <v>8</v>
      </c>
      <c r="G9" s="2" t="n"/>
      <c r="H9" s="8" t="n"/>
      <c r="I9" s="8" t="n">
        <v>1185.83</v>
      </c>
      <c r="J9" s="8" t="n"/>
      <c r="K9" s="8">
        <f>IF(COUNT(H9:J9)&gt;=2,MAX(H9:J9)-MIN(H9:J9),"")</f>
        <v/>
      </c>
      <c r="L9" s="9">
        <f>IF(ISNUMBER(K9),IF(MAX(ABS(MAX(H9:J9)),ABS(MIN(H9:J9)))=0,"",K9/MAX(ABS(MAX(H9:J9)),ABS(MIN(H9:J9)))),"")</f>
        <v/>
      </c>
      <c r="M9" s="2">
        <f>IF(AND(ISNUMBER(K9),ISNUMBER(L9)),IF(AND(K9&gt;=Ringkasan!$B$10,L9&gt;=Ringkasan!$B$11),"yes",""),"")</f>
        <v/>
      </c>
      <c r="N9" s="2" t="n"/>
      <c r="O9" s="2" t="n"/>
      <c r="Q9" s="2" t="n"/>
      <c r="S9" s="2" t="n"/>
      <c r="U9" s="2" t="n">
        <v>9</v>
      </c>
    </row>
    <row r="10">
      <c r="A10" s="2" t="inlineStr">
        <is>
          <t>LqXmtrsfMR18UV9LzbEEvdc4aNRXnpTTMApDmNNKwRQ</t>
        </is>
      </c>
      <c r="B10" s="2" t="n"/>
      <c r="C10" s="2">
        <f>COUNT(E10:G10)</f>
        <v/>
      </c>
      <c r="D10" s="2" t="inlineStr">
        <is>
          <t>SolanaTracker</t>
        </is>
      </c>
      <c r="E10" s="2" t="n"/>
      <c r="F10" s="2" t="n">
        <v>9</v>
      </c>
      <c r="G10" s="2" t="n"/>
      <c r="H10" s="8" t="n"/>
      <c r="I10" s="8" t="n">
        <v>1159.39</v>
      </c>
      <c r="J10" s="8" t="n"/>
      <c r="K10" s="8">
        <f>IF(COUNT(H10:J10)&gt;=2,MAX(H10:J10)-MIN(H10:J10),"")</f>
        <v/>
      </c>
      <c r="L10" s="9">
        <f>IF(ISNUMBER(K10),IF(MAX(ABS(MAX(H10:J10)),ABS(MIN(H10:J10)))=0,"",K10/MAX(ABS(MAX(H10:J10)),ABS(MIN(H10:J10)))),"")</f>
        <v/>
      </c>
      <c r="M10" s="2">
        <f>IF(AND(ISNUMBER(K10),ISNUMBER(L10)),IF(AND(K10&gt;=Ringkasan!$B$10,L10&gt;=Ringkasan!$B$11),"yes",""),"")</f>
        <v/>
      </c>
      <c r="N10" s="2" t="n"/>
      <c r="O10" s="2" t="n"/>
      <c r="Q10" s="2" t="n"/>
      <c r="S10" s="2" t="n"/>
      <c r="U10" s="2" t="n">
        <v>10</v>
      </c>
    </row>
    <row r="11">
      <c r="A11" s="2" t="inlineStr">
        <is>
          <t>ATSbwqhybVct3ZGvuJFgXT4WRZ9t58tppXBWK493JjyG</t>
        </is>
      </c>
      <c r="B11" s="2" t="n"/>
      <c r="C11" s="2">
        <f>COUNT(E11:G11)</f>
        <v/>
      </c>
      <c r="D11" s="2" t="inlineStr">
        <is>
          <t>SolanaTracker</t>
        </is>
      </c>
      <c r="E11" s="2" t="n"/>
      <c r="F11" s="2" t="n">
        <v>10</v>
      </c>
      <c r="G11" s="2" t="n"/>
      <c r="H11" s="8" t="n"/>
      <c r="I11" s="8" t="n">
        <v>1042.83</v>
      </c>
      <c r="J11" s="8" t="n"/>
      <c r="K11" s="8">
        <f>IF(COUNT(H11:J11)&gt;=2,MAX(H11:J11)-MIN(H11:J11),"")</f>
        <v/>
      </c>
      <c r="L11" s="9">
        <f>IF(ISNUMBER(K11),IF(MAX(ABS(MAX(H11:J11)),ABS(MIN(H11:J11)))=0,"",K11/MAX(ABS(MAX(H11:J11)),ABS(MIN(H11:J11)))),"")</f>
        <v/>
      </c>
      <c r="M11" s="2">
        <f>IF(AND(ISNUMBER(K11),ISNUMBER(L11)),IF(AND(K11&gt;=Ringkasan!$B$10,L11&gt;=Ringkasan!$B$11),"yes",""),"")</f>
        <v/>
      </c>
      <c r="N11" s="2" t="n"/>
      <c r="O11" s="2" t="n"/>
      <c r="Q11" s="2" t="inlineStr">
        <is>
          <t>potential_bot; gmgn</t>
        </is>
      </c>
      <c r="S11" s="2" t="n"/>
      <c r="U11" s="2" t="n">
        <v>11</v>
      </c>
    </row>
    <row r="12">
      <c r="A12" s="2" t="inlineStr">
        <is>
          <t>FU9HTSt7ubjmZQfqkNNfCJqv9deNvDPgX2oWGe6zBybk</t>
        </is>
      </c>
      <c r="B12" s="2" t="n"/>
      <c r="C12" s="2">
        <f>COUNT(E12:G12)</f>
        <v/>
      </c>
      <c r="D12" s="2" t="inlineStr">
        <is>
          <t>SolanaTracker</t>
        </is>
      </c>
      <c r="E12" s="2" t="n"/>
      <c r="F12" s="2" t="n">
        <v>11</v>
      </c>
      <c r="G12" s="2" t="n"/>
      <c r="H12" s="8" t="n"/>
      <c r="I12" s="8" t="n">
        <v>965.24</v>
      </c>
      <c r="J12" s="8" t="n"/>
      <c r="K12" s="8">
        <f>IF(COUNT(H12:J12)&gt;=2,MAX(H12:J12)-MIN(H12:J12),"")</f>
        <v/>
      </c>
      <c r="L12" s="9">
        <f>IF(ISNUMBER(K12),IF(MAX(ABS(MAX(H12:J12)),ABS(MIN(H12:J12)))=0,"",K12/MAX(ABS(MAX(H12:J12)),ABS(MIN(H12:J12)))),"")</f>
        <v/>
      </c>
      <c r="M12" s="2">
        <f>IF(AND(ISNUMBER(K12),ISNUMBER(L12)),IF(AND(K12&gt;=Ringkasan!$B$10,L12&gt;=Ringkasan!$B$11),"yes",""),"")</f>
        <v/>
      </c>
      <c r="N12" s="2" t="n"/>
      <c r="O12" s="2" t="n"/>
      <c r="Q12" s="2" t="n"/>
      <c r="S12" s="2" t="n"/>
      <c r="U12" s="2" t="n">
        <v>12</v>
      </c>
    </row>
    <row r="13">
      <c r="A13" s="2" t="inlineStr">
        <is>
          <t>8soA2giybHCRss5cQE56DVtpy8cMczBUaPaSD7UU586C</t>
        </is>
      </c>
      <c r="B13" s="2" t="n"/>
      <c r="C13" s="2">
        <f>COUNT(E13:G13)</f>
        <v/>
      </c>
      <c r="D13" s="2" t="inlineStr">
        <is>
          <t>SolanaTracker</t>
        </is>
      </c>
      <c r="E13" s="2" t="n"/>
      <c r="F13" s="2" t="n">
        <v>12</v>
      </c>
      <c r="G13" s="2" t="n"/>
      <c r="H13" s="8" t="n"/>
      <c r="I13" s="8" t="n">
        <v>940.9400000000001</v>
      </c>
      <c r="J13" s="8" t="n"/>
      <c r="K13" s="8">
        <f>IF(COUNT(H13:J13)&gt;=2,MAX(H13:J13)-MIN(H13:J13),"")</f>
        <v/>
      </c>
      <c r="L13" s="9">
        <f>IF(ISNUMBER(K13),IF(MAX(ABS(MAX(H13:J13)),ABS(MIN(H13:J13)))=0,"",K13/MAX(ABS(MAX(H13:J13)),ABS(MIN(H13:J13)))),"")</f>
        <v/>
      </c>
      <c r="M13" s="2">
        <f>IF(AND(ISNUMBER(K13),ISNUMBER(L13)),IF(AND(K13&gt;=Ringkasan!$B$10,L13&gt;=Ringkasan!$B$11),"yes",""),"")</f>
        <v/>
      </c>
      <c r="N13" s="2" t="n"/>
      <c r="O13" s="2" t="n"/>
      <c r="Q13" s="2" t="n"/>
      <c r="S13" s="2" t="n"/>
      <c r="U13" s="2" t="n">
        <v>13</v>
      </c>
    </row>
    <row r="14">
      <c r="A14" s="2" t="inlineStr">
        <is>
          <t>39YKPcT5FhodRGZdCGGBRsHWttXL2gc7VwJsdsWp8teo</t>
        </is>
      </c>
      <c r="B14" s="2" t="n"/>
      <c r="C14" s="2">
        <f>COUNT(E14:G14)</f>
        <v/>
      </c>
      <c r="D14" s="2" t="inlineStr">
        <is>
          <t>SolanaTracker</t>
        </is>
      </c>
      <c r="E14" s="2" t="n"/>
      <c r="F14" s="2" t="n">
        <v>13</v>
      </c>
      <c r="G14" s="2" t="n"/>
      <c r="H14" s="8" t="n"/>
      <c r="I14" s="8" t="n">
        <v>939.97</v>
      </c>
      <c r="J14" s="8" t="n"/>
      <c r="K14" s="8">
        <f>IF(COUNT(H14:J14)&gt;=2,MAX(H14:J14)-MIN(H14:J14),"")</f>
        <v/>
      </c>
      <c r="L14" s="9">
        <f>IF(ISNUMBER(K14),IF(MAX(ABS(MAX(H14:J14)),ABS(MIN(H14:J14)))=0,"",K14/MAX(ABS(MAX(H14:J14)),ABS(MIN(H14:J14)))),"")</f>
        <v/>
      </c>
      <c r="M14" s="2">
        <f>IF(AND(ISNUMBER(K14),ISNUMBER(L14)),IF(AND(K14&gt;=Ringkasan!$B$10,L14&gt;=Ringkasan!$B$11),"yes",""),"")</f>
        <v/>
      </c>
      <c r="N14" s="2" t="n"/>
      <c r="O14" s="2" t="n"/>
      <c r="Q14" s="2" t="n"/>
      <c r="S14" s="2" t="n"/>
      <c r="U14" s="2" t="n">
        <v>14</v>
      </c>
    </row>
    <row r="15">
      <c r="A15" s="2" t="inlineStr">
        <is>
          <t>TLyCMWKeN8JLmx7pnq7zibUcQX2bcZw9kCihWbUuNqF</t>
        </is>
      </c>
      <c r="B15" s="2" t="inlineStr">
        <is>
          <t>bluribbon</t>
        </is>
      </c>
      <c r="C15" s="2">
        <f>COUNT(E15:G15)</f>
        <v/>
      </c>
      <c r="D15" s="2" t="inlineStr">
        <is>
          <t>SolanaTracker</t>
        </is>
      </c>
      <c r="E15" s="2" t="n"/>
      <c r="F15" s="2" t="n">
        <v>14</v>
      </c>
      <c r="G15" s="2" t="n"/>
      <c r="H15" s="8" t="n"/>
      <c r="I15" s="8" t="n">
        <v>893.23</v>
      </c>
      <c r="J15" s="8" t="n"/>
      <c r="K15" s="8">
        <f>IF(COUNT(H15:J15)&gt;=2,MAX(H15:J15)-MIN(H15:J15),"")</f>
        <v/>
      </c>
      <c r="L15" s="9">
        <f>IF(ISNUMBER(K15),IF(MAX(ABS(MAX(H15:J15)),ABS(MIN(H15:J15)))=0,"",K15/MAX(ABS(MAX(H15:J15)),ABS(MIN(H15:J15)))),"")</f>
        <v/>
      </c>
      <c r="M15" s="2">
        <f>IF(AND(ISNUMBER(K15),ISNUMBER(L15)),IF(AND(K15&gt;=Ringkasan!$B$10,L15&gt;=Ringkasan!$B$11),"yes",""),"")</f>
        <v/>
      </c>
      <c r="N15" s="2" t="n"/>
      <c r="O15" s="2" t="n"/>
      <c r="Q15" s="2" t="inlineStr">
        <is>
          <t>pumpfun-app</t>
        </is>
      </c>
      <c r="S15" s="2" t="n"/>
      <c r="U15" s="2" t="n">
        <v>15</v>
      </c>
    </row>
    <row r="16">
      <c r="A16" s="2" t="inlineStr">
        <is>
          <t>4hBBhpb85HZj2MnF4QbKKQa8MWTAVCXbnndEeV38b1Ck</t>
        </is>
      </c>
      <c r="B16" s="2" t="n"/>
      <c r="C16" s="2">
        <f>COUNT(E16:G16)</f>
        <v/>
      </c>
      <c r="D16" s="2" t="inlineStr">
        <is>
          <t>SolanaTracker</t>
        </is>
      </c>
      <c r="E16" s="2" t="n"/>
      <c r="F16" s="2" t="n">
        <v>15</v>
      </c>
      <c r="G16" s="2" t="n"/>
      <c r="H16" s="8" t="n"/>
      <c r="I16" s="8" t="n">
        <v>866.5599999999999</v>
      </c>
      <c r="J16" s="8" t="n"/>
      <c r="K16" s="8">
        <f>IF(COUNT(H16:J16)&gt;=2,MAX(H16:J16)-MIN(H16:J16),"")</f>
        <v/>
      </c>
      <c r="L16" s="9">
        <f>IF(ISNUMBER(K16),IF(MAX(ABS(MAX(H16:J16)),ABS(MIN(H16:J16)))=0,"",K16/MAX(ABS(MAX(H16:J16)),ABS(MIN(H16:J16)))),"")</f>
        <v/>
      </c>
      <c r="M16" s="2">
        <f>IF(AND(ISNUMBER(K16),ISNUMBER(L16)),IF(AND(K16&gt;=Ringkasan!$B$10,L16&gt;=Ringkasan!$B$11),"yes",""),"")</f>
        <v/>
      </c>
      <c r="N16" s="2" t="n"/>
      <c r="O16" s="2" t="n"/>
      <c r="Q16" s="2" t="n"/>
      <c r="S16" s="2" t="n"/>
      <c r="U16" s="2" t="n">
        <v>16</v>
      </c>
    </row>
    <row r="17">
      <c r="A17" s="2" t="inlineStr">
        <is>
          <t>FKMYs75o955DVxkNuE78xEVTBvnnpKcimPfQE96QfoVh</t>
        </is>
      </c>
      <c r="B17" s="2" t="n"/>
      <c r="C17" s="2">
        <f>COUNT(E17:G17)</f>
        <v/>
      </c>
      <c r="D17" s="2" t="inlineStr">
        <is>
          <t>SolanaTracker</t>
        </is>
      </c>
      <c r="E17" s="2" t="n"/>
      <c r="F17" s="2" t="n">
        <v>16</v>
      </c>
      <c r="G17" s="2" t="n"/>
      <c r="H17" s="8" t="n"/>
      <c r="I17" s="8" t="n">
        <v>853.14</v>
      </c>
      <c r="J17" s="8" t="n"/>
      <c r="K17" s="8">
        <f>IF(COUNT(H17:J17)&gt;=2,MAX(H17:J17)-MIN(H17:J17),"")</f>
        <v/>
      </c>
      <c r="L17" s="9">
        <f>IF(ISNUMBER(K17),IF(MAX(ABS(MAX(H17:J17)),ABS(MIN(H17:J17)))=0,"",K17/MAX(ABS(MAX(H17:J17)),ABS(MIN(H17:J17)))),"")</f>
        <v/>
      </c>
      <c r="M17" s="2">
        <f>IF(AND(ISNUMBER(K17),ISNUMBER(L17)),IF(AND(K17&gt;=Ringkasan!$B$10,L17&gt;=Ringkasan!$B$11),"yes",""),"")</f>
        <v/>
      </c>
      <c r="N17" s="2" t="n"/>
      <c r="O17" s="2" t="n"/>
      <c r="Q17" s="2" t="inlineStr">
        <is>
          <t>gmgn</t>
        </is>
      </c>
      <c r="S17" s="2" t="n"/>
      <c r="U17" s="2" t="n">
        <v>17</v>
      </c>
    </row>
    <row r="18">
      <c r="A18" s="2" t="inlineStr">
        <is>
          <t>FtVq2huUhU33TNmEbmEQb4kwDEfZeU9tFvBgk7mwWnBx</t>
        </is>
      </c>
      <c r="B18" s="2" t="inlineStr">
        <is>
          <t>7etsuo</t>
        </is>
      </c>
      <c r="C18" s="2">
        <f>COUNT(E18:G18)</f>
        <v/>
      </c>
      <c r="D18" s="2" t="inlineStr">
        <is>
          <t>SolanaTracker</t>
        </is>
      </c>
      <c r="E18" s="2" t="n"/>
      <c r="F18" s="2" t="n">
        <v>17</v>
      </c>
      <c r="G18" s="2" t="n"/>
      <c r="H18" s="8" t="n"/>
      <c r="I18" s="8" t="n">
        <v>831.39</v>
      </c>
      <c r="J18" s="8" t="n"/>
      <c r="K18" s="8">
        <f>IF(COUNT(H18:J18)&gt;=2,MAX(H18:J18)-MIN(H18:J18),"")</f>
        <v/>
      </c>
      <c r="L18" s="9">
        <f>IF(ISNUMBER(K18),IF(MAX(ABS(MAX(H18:J18)),ABS(MIN(H18:J18)))=0,"",K18/MAX(ABS(MAX(H18:J18)),ABS(MIN(H18:J18)))),"")</f>
        <v/>
      </c>
      <c r="M18" s="2">
        <f>IF(AND(ISNUMBER(K18),ISNUMBER(L18)),IF(AND(K18&gt;=Ringkasan!$B$10,L18&gt;=Ringkasan!$B$11),"yes",""),"")</f>
        <v/>
      </c>
      <c r="N18" s="2" t="n"/>
      <c r="O18" s="2" t="n"/>
      <c r="Q18" s="2" t="inlineStr">
        <is>
          <t>potential_bot; pumpfun-app</t>
        </is>
      </c>
      <c r="S18" s="2" t="n"/>
      <c r="U18" s="2" t="n">
        <v>18</v>
      </c>
    </row>
    <row r="19">
      <c r="A19" s="2" t="inlineStr">
        <is>
          <t>FF7t45CEWtZ4Qdqx1FDipJrLTw99DKNtvMKs1JksH366</t>
        </is>
      </c>
      <c r="B19" s="2" t="n"/>
      <c r="C19" s="2">
        <f>COUNT(E19:G19)</f>
        <v/>
      </c>
      <c r="D19" s="2" t="inlineStr">
        <is>
          <t>SolanaTracker</t>
        </is>
      </c>
      <c r="E19" s="2" t="n"/>
      <c r="F19" s="2" t="n">
        <v>18</v>
      </c>
      <c r="G19" s="2" t="n"/>
      <c r="H19" s="8" t="n"/>
      <c r="I19" s="8" t="n">
        <v>827.01</v>
      </c>
      <c r="J19" s="8" t="n"/>
      <c r="K19" s="8">
        <f>IF(COUNT(H19:J19)&gt;=2,MAX(H19:J19)-MIN(H19:J19),"")</f>
        <v/>
      </c>
      <c r="L19" s="9">
        <f>IF(ISNUMBER(K19),IF(MAX(ABS(MAX(H19:J19)),ABS(MIN(H19:J19)))=0,"",K19/MAX(ABS(MAX(H19:J19)),ABS(MIN(H19:J19)))),"")</f>
        <v/>
      </c>
      <c r="M19" s="2">
        <f>IF(AND(ISNUMBER(K19),ISNUMBER(L19)),IF(AND(K19&gt;=Ringkasan!$B$10,L19&gt;=Ringkasan!$B$11),"yes",""),"")</f>
        <v/>
      </c>
      <c r="N19" s="2" t="n"/>
      <c r="O19" s="2" t="n"/>
      <c r="Q19" s="2" t="n"/>
      <c r="S19" s="2" t="n"/>
      <c r="U19" s="2" t="n">
        <v>19</v>
      </c>
    </row>
    <row r="20">
      <c r="A20" s="2" t="inlineStr">
        <is>
          <t>ARhmM2nJhCj3FFoSTa8dYpSADXvVi6osATxRiuJ2UfKS</t>
        </is>
      </c>
      <c r="B20" s="2" t="inlineStr">
        <is>
          <t>xchad</t>
        </is>
      </c>
      <c r="C20" s="2">
        <f>COUNT(E20:G20)</f>
        <v/>
      </c>
      <c r="D20" s="2" t="inlineStr">
        <is>
          <t>SolanaTracker</t>
        </is>
      </c>
      <c r="E20" s="2" t="n"/>
      <c r="F20" s="2" t="n">
        <v>19</v>
      </c>
      <c r="G20" s="2" t="n"/>
      <c r="H20" s="8" t="n"/>
      <c r="I20" s="8" t="n">
        <v>809.13</v>
      </c>
      <c r="J20" s="8" t="n"/>
      <c r="K20" s="8">
        <f>IF(COUNT(H20:J20)&gt;=2,MAX(H20:J20)-MIN(H20:J20),"")</f>
        <v/>
      </c>
      <c r="L20" s="9">
        <f>IF(ISNUMBER(K20),IF(MAX(ABS(MAX(H20:J20)),ABS(MIN(H20:J20)))=0,"",K20/MAX(ABS(MAX(H20:J20)),ABS(MIN(H20:J20)))),"")</f>
        <v/>
      </c>
      <c r="M20" s="2">
        <f>IF(AND(ISNUMBER(K20),ISNUMBER(L20)),IF(AND(K20&gt;=Ringkasan!$B$10,L20&gt;=Ringkasan!$B$11),"yes",""),"")</f>
        <v/>
      </c>
      <c r="N20" s="2" t="n"/>
      <c r="O20" s="2" t="n"/>
      <c r="Q20" s="2" t="inlineStr">
        <is>
          <t>pumpfun-app</t>
        </is>
      </c>
      <c r="S20" s="2" t="n"/>
      <c r="U20" s="2" t="n">
        <v>20</v>
      </c>
    </row>
    <row r="21">
      <c r="A21" s="2" t="inlineStr">
        <is>
          <t>FFiocjh9LdMf8SUqgGDLkr9wiojj4dvREVpYNCy7tGav</t>
        </is>
      </c>
      <c r="B21" s="2" t="n"/>
      <c r="C21" s="2">
        <f>COUNT(E21:G21)</f>
        <v/>
      </c>
      <c r="D21" s="2" t="inlineStr">
        <is>
          <t>SolanaTracker</t>
        </is>
      </c>
      <c r="E21" s="2" t="n"/>
      <c r="F21" s="2" t="n">
        <v>20</v>
      </c>
      <c r="G21" s="2" t="n"/>
      <c r="H21" s="8" t="n"/>
      <c r="I21" s="8" t="n">
        <v>791.3099999999999</v>
      </c>
      <c r="J21" s="8" t="n"/>
      <c r="K21" s="8">
        <f>IF(COUNT(H21:J21)&gt;=2,MAX(H21:J21)-MIN(H21:J21),"")</f>
        <v/>
      </c>
      <c r="L21" s="9">
        <f>IF(ISNUMBER(K21),IF(MAX(ABS(MAX(H21:J21)),ABS(MIN(H21:J21)))=0,"",K21/MAX(ABS(MAX(H21:J21)),ABS(MIN(H21:J21)))),"")</f>
        <v/>
      </c>
      <c r="M21" s="2">
        <f>IF(AND(ISNUMBER(K21),ISNUMBER(L21)),IF(AND(K21&gt;=Ringkasan!$B$10,L21&gt;=Ringkasan!$B$11),"yes",""),"")</f>
        <v/>
      </c>
      <c r="N21" s="2" t="n"/>
      <c r="O21" s="2" t="n"/>
      <c r="Q21" s="2" t="n"/>
      <c r="S21" s="2" t="n"/>
      <c r="U21" s="2" t="n">
        <v>21</v>
      </c>
    </row>
    <row r="22">
      <c r="A22" s="2" t="inlineStr">
        <is>
          <t>953bGbJwZHcquq2aLuMb3NAxRSs5eJNdEovXTG972Uw</t>
        </is>
      </c>
      <c r="B22" s="2" t="n"/>
      <c r="C22" s="2">
        <f>COUNT(E22:G22)</f>
        <v/>
      </c>
      <c r="D22" s="2" t="inlineStr">
        <is>
          <t>SolanaTracker</t>
        </is>
      </c>
      <c r="E22" s="2" t="n"/>
      <c r="F22" s="2" t="n">
        <v>21</v>
      </c>
      <c r="G22" s="2" t="n"/>
      <c r="H22" s="8" t="n"/>
      <c r="I22" s="8" t="n">
        <v>781.9299999999999</v>
      </c>
      <c r="J22" s="8" t="n"/>
      <c r="K22" s="8">
        <f>IF(COUNT(H22:J22)&gt;=2,MAX(H22:J22)-MIN(H22:J22),"")</f>
        <v/>
      </c>
      <c r="L22" s="9">
        <f>IF(ISNUMBER(K22),IF(MAX(ABS(MAX(H22:J22)),ABS(MIN(H22:J22)))=0,"",K22/MAX(ABS(MAX(H22:J22)),ABS(MIN(H22:J22)))),"")</f>
        <v/>
      </c>
      <c r="M22" s="2">
        <f>IF(AND(ISNUMBER(K22),ISNUMBER(L22)),IF(AND(K22&gt;=Ringkasan!$B$10,L22&gt;=Ringkasan!$B$11),"yes",""),"")</f>
        <v/>
      </c>
      <c r="N22" s="2" t="n"/>
      <c r="O22" s="2" t="n"/>
      <c r="Q22" s="2" t="n"/>
      <c r="S22" s="2" t="n"/>
      <c r="U22" s="2" t="n">
        <v>22</v>
      </c>
    </row>
    <row r="23">
      <c r="A23" s="2" t="inlineStr">
        <is>
          <t>6jJJjSDmbw8RLuHAKUmnLZVzegYHXoBLGXz7hgr3Hbzj</t>
        </is>
      </c>
      <c r="B23" s="2" t="n"/>
      <c r="C23" s="2">
        <f>COUNT(E23:G23)</f>
        <v/>
      </c>
      <c r="D23" s="2" t="inlineStr">
        <is>
          <t>SolanaTracker</t>
        </is>
      </c>
      <c r="E23" s="2" t="n"/>
      <c r="F23" s="2" t="n">
        <v>22</v>
      </c>
      <c r="G23" s="2" t="n"/>
      <c r="H23" s="8" t="n"/>
      <c r="I23" s="8" t="n">
        <v>728.74</v>
      </c>
      <c r="J23" s="8" t="n"/>
      <c r="K23" s="8">
        <f>IF(COUNT(H23:J23)&gt;=2,MAX(H23:J23)-MIN(H23:J23),"")</f>
        <v/>
      </c>
      <c r="L23" s="9">
        <f>IF(ISNUMBER(K23),IF(MAX(ABS(MAX(H23:J23)),ABS(MIN(H23:J23)))=0,"",K23/MAX(ABS(MAX(H23:J23)),ABS(MIN(H23:J23)))),"")</f>
        <v/>
      </c>
      <c r="M23" s="2">
        <f>IF(AND(ISNUMBER(K23),ISNUMBER(L23)),IF(AND(K23&gt;=Ringkasan!$B$10,L23&gt;=Ringkasan!$B$11),"yes",""),"")</f>
        <v/>
      </c>
      <c r="N23" s="2" t="n"/>
      <c r="O23" s="2" t="n"/>
      <c r="Q23" s="2" t="n"/>
      <c r="S23" s="2" t="n"/>
      <c r="U23" s="2" t="n">
        <v>23</v>
      </c>
    </row>
    <row r="24">
      <c r="A24" s="2" t="inlineStr">
        <is>
          <t>3SouMWy94Ca3kNvusNKG5vQJqjdGVi3xmTsC8MjdGNPo</t>
        </is>
      </c>
      <c r="B24" s="2" t="n"/>
      <c r="C24" s="2">
        <f>COUNT(E24:G24)</f>
        <v/>
      </c>
      <c r="D24" s="2" t="inlineStr">
        <is>
          <t>SolanaTracker</t>
        </is>
      </c>
      <c r="E24" s="2" t="n"/>
      <c r="F24" s="2" t="n">
        <v>23</v>
      </c>
      <c r="G24" s="2" t="n"/>
      <c r="H24" s="8" t="n"/>
      <c r="I24" s="8" t="n">
        <v>685.37</v>
      </c>
      <c r="J24" s="8" t="n"/>
      <c r="K24" s="8">
        <f>IF(COUNT(H24:J24)&gt;=2,MAX(H24:J24)-MIN(H24:J24),"")</f>
        <v/>
      </c>
      <c r="L24" s="9">
        <f>IF(ISNUMBER(K24),IF(MAX(ABS(MAX(H24:J24)),ABS(MIN(H24:J24)))=0,"",K24/MAX(ABS(MAX(H24:J24)),ABS(MIN(H24:J24)))),"")</f>
        <v/>
      </c>
      <c r="M24" s="2">
        <f>IF(AND(ISNUMBER(K24),ISNUMBER(L24)),IF(AND(K24&gt;=Ringkasan!$B$10,L24&gt;=Ringkasan!$B$11),"yes",""),"")</f>
        <v/>
      </c>
      <c r="N24" s="2" t="n"/>
      <c r="O24" s="2" t="n"/>
      <c r="Q24" s="2" t="inlineStr">
        <is>
          <t>potential_bot; gmgn</t>
        </is>
      </c>
      <c r="S24" s="2" t="n"/>
      <c r="U24" s="2" t="n">
        <v>24</v>
      </c>
    </row>
    <row r="25">
      <c r="A25" s="2" t="inlineStr">
        <is>
          <t>8JsLg9cpYnjhsJAUvSJ8kEPmMSKSus3CC8aex4GzkA4u</t>
        </is>
      </c>
      <c r="B25" s="2" t="inlineStr">
        <is>
          <t>beluga0x</t>
        </is>
      </c>
      <c r="C25" s="2">
        <f>COUNT(E25:G25)</f>
        <v/>
      </c>
      <c r="D25" s="2" t="inlineStr">
        <is>
          <t>SolanaTracker</t>
        </is>
      </c>
      <c r="E25" s="2" t="n"/>
      <c r="F25" s="2" t="n">
        <v>24</v>
      </c>
      <c r="G25" s="2" t="n"/>
      <c r="H25" s="8" t="n"/>
      <c r="I25" s="8" t="n">
        <v>662.58</v>
      </c>
      <c r="J25" s="8" t="n"/>
      <c r="K25" s="8">
        <f>IF(COUNT(H25:J25)&gt;=2,MAX(H25:J25)-MIN(H25:J25),"")</f>
        <v/>
      </c>
      <c r="L25" s="9">
        <f>IF(ISNUMBER(K25),IF(MAX(ABS(MAX(H25:J25)),ABS(MIN(H25:J25)))=0,"",K25/MAX(ABS(MAX(H25:J25)),ABS(MIN(H25:J25)))),"")</f>
        <v/>
      </c>
      <c r="M25" s="2">
        <f>IF(AND(ISNUMBER(K25),ISNUMBER(L25)),IF(AND(K25&gt;=Ringkasan!$B$10,L25&gt;=Ringkasan!$B$11),"yes",""),"")</f>
        <v/>
      </c>
      <c r="N25" s="2" t="n"/>
      <c r="O25" s="2" t="n"/>
      <c r="Q25" s="2" t="inlineStr">
        <is>
          <t>pumpfun-app</t>
        </is>
      </c>
      <c r="S25" s="2" t="n"/>
      <c r="U25" s="2" t="n">
        <v>25</v>
      </c>
    </row>
    <row r="26">
      <c r="A26" s="2" t="inlineStr">
        <is>
          <t>Fy5uZbH8H6SpSpaVxAHmfdGtftRzhDUjaETgZFgB4DzB</t>
        </is>
      </c>
      <c r="B26" s="2" t="n"/>
      <c r="C26" s="2">
        <f>COUNT(E26:G26)</f>
        <v/>
      </c>
      <c r="D26" s="2" t="inlineStr">
        <is>
          <t>SolanaTracker</t>
        </is>
      </c>
      <c r="E26" s="2" t="n"/>
      <c r="F26" s="2" t="n">
        <v>25</v>
      </c>
      <c r="G26" s="2" t="n"/>
      <c r="H26" s="8" t="n"/>
      <c r="I26" s="8" t="n">
        <v>650.52</v>
      </c>
      <c r="J26" s="8" t="n"/>
      <c r="K26" s="8">
        <f>IF(COUNT(H26:J26)&gt;=2,MAX(H26:J26)-MIN(H26:J26),"")</f>
        <v/>
      </c>
      <c r="L26" s="9">
        <f>IF(ISNUMBER(K26),IF(MAX(ABS(MAX(H26:J26)),ABS(MIN(H26:J26)))=0,"",K26/MAX(ABS(MAX(H26:J26)),ABS(MIN(H26:J26)))),"")</f>
        <v/>
      </c>
      <c r="M26" s="2">
        <f>IF(AND(ISNUMBER(K26),ISNUMBER(L26)),IF(AND(K26&gt;=Ringkasan!$B$10,L26&gt;=Ringkasan!$B$11),"yes",""),"")</f>
        <v/>
      </c>
      <c r="N26" s="2" t="n"/>
      <c r="O26" s="2" t="n"/>
      <c r="Q26" s="2" t="n"/>
      <c r="S26" s="2" t="n"/>
      <c r="U26" s="2" t="n">
        <v>26</v>
      </c>
    </row>
    <row r="27">
      <c r="A27" s="2" t="inlineStr">
        <is>
          <t>7Rh2G7dqdjStyJMnobuyaTkj9x31WDHR2M7Hc1GHWoff</t>
        </is>
      </c>
      <c r="B27" s="2" t="n"/>
      <c r="C27" s="2">
        <f>COUNT(E27:G27)</f>
        <v/>
      </c>
      <c r="D27" s="2" t="inlineStr">
        <is>
          <t>SolanaTracker</t>
        </is>
      </c>
      <c r="E27" s="2" t="n"/>
      <c r="F27" s="2" t="n">
        <v>26</v>
      </c>
      <c r="G27" s="2" t="n"/>
      <c r="H27" s="8" t="n"/>
      <c r="I27" s="8" t="n">
        <v>639.88</v>
      </c>
      <c r="J27" s="8" t="n"/>
      <c r="K27" s="8">
        <f>IF(COUNT(H27:J27)&gt;=2,MAX(H27:J27)-MIN(H27:J27),"")</f>
        <v/>
      </c>
      <c r="L27" s="9">
        <f>IF(ISNUMBER(K27),IF(MAX(ABS(MAX(H27:J27)),ABS(MIN(H27:J27)))=0,"",K27/MAX(ABS(MAX(H27:J27)),ABS(MIN(H27:J27)))),"")</f>
        <v/>
      </c>
      <c r="M27" s="2">
        <f>IF(AND(ISNUMBER(K27),ISNUMBER(L27)),IF(AND(K27&gt;=Ringkasan!$B$10,L27&gt;=Ringkasan!$B$11),"yes",""),"")</f>
        <v/>
      </c>
      <c r="N27" s="2" t="n"/>
      <c r="O27" s="2" t="n"/>
      <c r="Q27" s="2" t="inlineStr">
        <is>
          <t>potential_bot; gmgn</t>
        </is>
      </c>
      <c r="S27" s="2" t="n"/>
      <c r="U27" s="2" t="n">
        <v>27</v>
      </c>
    </row>
    <row r="28">
      <c r="A28" s="2" t="inlineStr">
        <is>
          <t>5zXdgRiCtDEH787tos5K6q2iJ4jKBdmBJvHu3KkW6crR</t>
        </is>
      </c>
      <c r="B28" s="2" t="inlineStr">
        <is>
          <t>ragnarlodbroken</t>
        </is>
      </c>
      <c r="C28" s="2">
        <f>COUNT(E28:G28)</f>
        <v/>
      </c>
      <c r="D28" s="2" t="inlineStr">
        <is>
          <t>SolanaTracker</t>
        </is>
      </c>
      <c r="E28" s="2" t="n"/>
      <c r="F28" s="2" t="n">
        <v>27</v>
      </c>
      <c r="G28" s="2" t="n"/>
      <c r="H28" s="8" t="n"/>
      <c r="I28" s="8" t="n">
        <v>631.54</v>
      </c>
      <c r="J28" s="8" t="n"/>
      <c r="K28" s="8">
        <f>IF(COUNT(H28:J28)&gt;=2,MAX(H28:J28)-MIN(H28:J28),"")</f>
        <v/>
      </c>
      <c r="L28" s="9">
        <f>IF(ISNUMBER(K28),IF(MAX(ABS(MAX(H28:J28)),ABS(MIN(H28:J28)))=0,"",K28/MAX(ABS(MAX(H28:J28)),ABS(MIN(H28:J28)))),"")</f>
        <v/>
      </c>
      <c r="M28" s="2">
        <f>IF(AND(ISNUMBER(K28),ISNUMBER(L28)),IF(AND(K28&gt;=Ringkasan!$B$10,L28&gt;=Ringkasan!$B$11),"yes",""),"")</f>
        <v/>
      </c>
      <c r="N28" s="2" t="n"/>
      <c r="O28" s="2" t="n"/>
      <c r="Q28" s="2" t="inlineStr">
        <is>
          <t>pumpfun-app</t>
        </is>
      </c>
      <c r="S28" s="2" t="n"/>
      <c r="U28" s="2" t="n">
        <v>28</v>
      </c>
    </row>
    <row r="29">
      <c r="A29" s="2" t="inlineStr">
        <is>
          <t>DM3fvx4gryu2hAd9ioXJHVJARVTVjb1GyZtKdmmUzLs8</t>
        </is>
      </c>
      <c r="B29" s="2" t="n"/>
      <c r="C29" s="2">
        <f>COUNT(E29:G29)</f>
        <v/>
      </c>
      <c r="D29" s="2" t="inlineStr">
        <is>
          <t>SolanaTracker</t>
        </is>
      </c>
      <c r="E29" s="2" t="n"/>
      <c r="F29" s="2" t="n">
        <v>28</v>
      </c>
      <c r="G29" s="2" t="n"/>
      <c r="H29" s="8" t="n"/>
      <c r="I29" s="8" t="n">
        <v>589.71</v>
      </c>
      <c r="J29" s="8" t="n"/>
      <c r="K29" s="8">
        <f>IF(COUNT(H29:J29)&gt;=2,MAX(H29:J29)-MIN(H29:J29),"")</f>
        <v/>
      </c>
      <c r="L29" s="9">
        <f>IF(ISNUMBER(K29),IF(MAX(ABS(MAX(H29:J29)),ABS(MIN(H29:J29)))=0,"",K29/MAX(ABS(MAX(H29:J29)),ABS(MIN(H29:J29)))),"")</f>
        <v/>
      </c>
      <c r="M29" s="2">
        <f>IF(AND(ISNUMBER(K29),ISNUMBER(L29)),IF(AND(K29&gt;=Ringkasan!$B$10,L29&gt;=Ringkasan!$B$11),"yes",""),"")</f>
        <v/>
      </c>
      <c r="N29" s="2" t="n"/>
      <c r="O29" s="2" t="n"/>
      <c r="Q29" s="2" t="n"/>
      <c r="S29" s="2" t="n"/>
      <c r="U29" s="2" t="n">
        <v>29</v>
      </c>
    </row>
    <row r="30">
      <c r="A30" s="2" t="inlineStr">
        <is>
          <t>HpMaoDF8BNbQFPgoPQNUeJkcruAGzccDGBiUJ5mRkQWF</t>
        </is>
      </c>
      <c r="B30" s="2" t="inlineStr">
        <is>
          <t>joelv</t>
        </is>
      </c>
      <c r="C30" s="2">
        <f>COUNT(E30:G30)</f>
        <v/>
      </c>
      <c r="D30" s="2" t="inlineStr">
        <is>
          <t>SolanaTracker</t>
        </is>
      </c>
      <c r="E30" s="2" t="n"/>
      <c r="F30" s="2" t="n">
        <v>29</v>
      </c>
      <c r="G30" s="2" t="n"/>
      <c r="H30" s="8" t="n"/>
      <c r="I30" s="8" t="n">
        <v>578.24</v>
      </c>
      <c r="J30" s="8" t="n"/>
      <c r="K30" s="8">
        <f>IF(COUNT(H30:J30)&gt;=2,MAX(H30:J30)-MIN(H30:J30),"")</f>
        <v/>
      </c>
      <c r="L30" s="9">
        <f>IF(ISNUMBER(K30),IF(MAX(ABS(MAX(H30:J30)),ABS(MIN(H30:J30)))=0,"",K30/MAX(ABS(MAX(H30:J30)),ABS(MIN(H30:J30)))),"")</f>
        <v/>
      </c>
      <c r="M30" s="2">
        <f>IF(AND(ISNUMBER(K30),ISNUMBER(L30)),IF(AND(K30&gt;=Ringkasan!$B$10,L30&gt;=Ringkasan!$B$11),"yes",""),"")</f>
        <v/>
      </c>
      <c r="N30" s="2" t="n"/>
      <c r="O30" s="2" t="n"/>
      <c r="Q30" s="2" t="inlineStr">
        <is>
          <t>pumpfun-app</t>
        </is>
      </c>
      <c r="S30" s="2" t="n"/>
      <c r="U30" s="2" t="n">
        <v>30</v>
      </c>
    </row>
    <row r="31">
      <c r="A31" s="2" t="inlineStr">
        <is>
          <t>7R5zUfRaWaTLVLCipq2XEpe7XdK8EQYircJt6Cm1UCbY</t>
        </is>
      </c>
      <c r="B31" s="2" t="inlineStr">
        <is>
          <t>BarryBonder</t>
        </is>
      </c>
      <c r="C31" s="2">
        <f>COUNT(E31:G31)</f>
        <v/>
      </c>
      <c r="D31" s="2" t="inlineStr">
        <is>
          <t>SolanaTracker</t>
        </is>
      </c>
      <c r="E31" s="2" t="n"/>
      <c r="F31" s="2" t="n">
        <v>30</v>
      </c>
      <c r="G31" s="2" t="n"/>
      <c r="H31" s="8" t="n"/>
      <c r="I31" s="8" t="n">
        <v>577.67</v>
      </c>
      <c r="J31" s="8" t="n"/>
      <c r="K31" s="8">
        <f>IF(COUNT(H31:J31)&gt;=2,MAX(H31:J31)-MIN(H31:J31),"")</f>
        <v/>
      </c>
      <c r="L31" s="9">
        <f>IF(ISNUMBER(K31),IF(MAX(ABS(MAX(H31:J31)),ABS(MIN(H31:J31)))=0,"",K31/MAX(ABS(MAX(H31:J31)),ABS(MIN(H31:J31)))),"")</f>
        <v/>
      </c>
      <c r="M31" s="2">
        <f>IF(AND(ISNUMBER(K31),ISNUMBER(L31)),IF(AND(K31&gt;=Ringkasan!$B$10,L31&gt;=Ringkasan!$B$11),"yes",""),"")</f>
        <v/>
      </c>
      <c r="N31" s="2" t="n"/>
      <c r="O31" s="2" t="n"/>
      <c r="Q31" s="2" t="inlineStr">
        <is>
          <t>pumpfun-app</t>
        </is>
      </c>
      <c r="S31" s="2" t="n"/>
      <c r="U31" s="2" t="n">
        <v>31</v>
      </c>
    </row>
    <row r="32">
      <c r="A32" s="2" t="inlineStr">
        <is>
          <t>9ab9J1hMmkgvNUpNHfNh85qrtYHAiEujyfYb2xSJhiFr</t>
        </is>
      </c>
      <c r="B32" s="2" t="inlineStr">
        <is>
          <t>诶嘿嘿</t>
        </is>
      </c>
      <c r="C32" s="2">
        <f>COUNT(E32:G32)</f>
        <v/>
      </c>
      <c r="D32" s="2" t="inlineStr">
        <is>
          <t>SolanaTracker</t>
        </is>
      </c>
      <c r="E32" s="2" t="n"/>
      <c r="F32" s="2" t="n">
        <v>31</v>
      </c>
      <c r="G32" s="2" t="n"/>
      <c r="H32" s="8" t="n"/>
      <c r="I32" s="8" t="n">
        <v>574.74</v>
      </c>
      <c r="J32" s="8" t="n"/>
      <c r="K32" s="8">
        <f>IF(COUNT(H32:J32)&gt;=2,MAX(H32:J32)-MIN(H32:J32),"")</f>
        <v/>
      </c>
      <c r="L32" s="9">
        <f>IF(ISNUMBER(K32),IF(MAX(ABS(MAX(H32:J32)),ABS(MIN(H32:J32)))=0,"",K32/MAX(ABS(MAX(H32:J32)),ABS(MIN(H32:J32)))),"")</f>
        <v/>
      </c>
      <c r="M32" s="2">
        <f>IF(AND(ISNUMBER(K32),ISNUMBER(L32)),IF(AND(K32&gt;=Ringkasan!$B$10,L32&gt;=Ringkasan!$B$11),"yes",""),"")</f>
        <v/>
      </c>
      <c r="N32" s="2" t="n"/>
      <c r="O32" s="2" t="n"/>
      <c r="Q32" s="2" t="inlineStr">
        <is>
          <t>fomo</t>
        </is>
      </c>
      <c r="S32" s="2" t="n"/>
      <c r="U32" s="2" t="n">
        <v>32</v>
      </c>
    </row>
    <row r="33">
      <c r="A33" s="2" t="inlineStr">
        <is>
          <t>D73nE5DnZZkzNeuhcUL5VutxcFLobSDGWdFxkaBtsrdN</t>
        </is>
      </c>
      <c r="B33" s="2" t="n"/>
      <c r="C33" s="2">
        <f>COUNT(E33:G33)</f>
        <v/>
      </c>
      <c r="D33" s="2" t="inlineStr">
        <is>
          <t>SolanaTracker</t>
        </is>
      </c>
      <c r="E33" s="2" t="n"/>
      <c r="F33" s="2" t="n">
        <v>32</v>
      </c>
      <c r="G33" s="2" t="n"/>
      <c r="H33" s="8" t="n"/>
      <c r="I33" s="8" t="n">
        <v>573.28</v>
      </c>
      <c r="J33" s="8" t="n"/>
      <c r="K33" s="8">
        <f>IF(COUNT(H33:J33)&gt;=2,MAX(H33:J33)-MIN(H33:J33),"")</f>
        <v/>
      </c>
      <c r="L33" s="9">
        <f>IF(ISNUMBER(K33),IF(MAX(ABS(MAX(H33:J33)),ABS(MIN(H33:J33)))=0,"",K33/MAX(ABS(MAX(H33:J33)),ABS(MIN(H33:J33)))),"")</f>
        <v/>
      </c>
      <c r="M33" s="2">
        <f>IF(AND(ISNUMBER(K33),ISNUMBER(L33)),IF(AND(K33&gt;=Ringkasan!$B$10,L33&gt;=Ringkasan!$B$11),"yes",""),"")</f>
        <v/>
      </c>
      <c r="N33" s="2" t="n"/>
      <c r="O33" s="2" t="n"/>
      <c r="Q33" s="2" t="inlineStr">
        <is>
          <t>gmgn</t>
        </is>
      </c>
      <c r="S33" s="2" t="n"/>
      <c r="U33" s="2" t="n">
        <v>33</v>
      </c>
    </row>
    <row r="34">
      <c r="A34" s="2" t="inlineStr">
        <is>
          <t>J1nQS7RXVSRij4S5AUdhFYYwwWxT1fdBtmJQvSfhywic</t>
        </is>
      </c>
      <c r="B34" s="2" t="n"/>
      <c r="C34" s="2">
        <f>COUNT(E34:G34)</f>
        <v/>
      </c>
      <c r="D34" s="2" t="inlineStr">
        <is>
          <t>SolanaTracker</t>
        </is>
      </c>
      <c r="E34" s="2" t="n"/>
      <c r="F34" s="2" t="n">
        <v>33</v>
      </c>
      <c r="G34" s="2" t="n"/>
      <c r="H34" s="8" t="n"/>
      <c r="I34" s="8" t="n">
        <v>563.75</v>
      </c>
      <c r="J34" s="8" t="n"/>
      <c r="K34" s="8">
        <f>IF(COUNT(H34:J34)&gt;=2,MAX(H34:J34)-MIN(H34:J34),"")</f>
        <v/>
      </c>
      <c r="L34" s="9">
        <f>IF(ISNUMBER(K34),IF(MAX(ABS(MAX(H34:J34)),ABS(MIN(H34:J34)))=0,"",K34/MAX(ABS(MAX(H34:J34)),ABS(MIN(H34:J34)))),"")</f>
        <v/>
      </c>
      <c r="M34" s="2">
        <f>IF(AND(ISNUMBER(K34),ISNUMBER(L34)),IF(AND(K34&gt;=Ringkasan!$B$10,L34&gt;=Ringkasan!$B$11),"yes",""),"")</f>
        <v/>
      </c>
      <c r="N34" s="2" t="n"/>
      <c r="O34" s="2" t="n"/>
      <c r="Q34" s="2" t="n"/>
      <c r="S34" s="2" t="n"/>
      <c r="U34" s="2" t="n">
        <v>34</v>
      </c>
    </row>
    <row r="35">
      <c r="A35" s="2" t="inlineStr">
        <is>
          <t>9bwkRSXBHqdEnZYQamWwJhS5vpAitrTbqsasWx9kNyqW</t>
        </is>
      </c>
      <c r="B35" s="2" t="n"/>
      <c r="C35" s="2">
        <f>COUNT(E35:G35)</f>
        <v/>
      </c>
      <c r="D35" s="2" t="inlineStr">
        <is>
          <t>SolanaTracker</t>
        </is>
      </c>
      <c r="E35" s="2" t="n"/>
      <c r="F35" s="2" t="n">
        <v>34</v>
      </c>
      <c r="G35" s="2" t="n"/>
      <c r="H35" s="8" t="n"/>
      <c r="I35" s="8" t="n">
        <v>556.8099999999999</v>
      </c>
      <c r="J35" s="8" t="n"/>
      <c r="K35" s="8">
        <f>IF(COUNT(H35:J35)&gt;=2,MAX(H35:J35)-MIN(H35:J35),"")</f>
        <v/>
      </c>
      <c r="L35" s="9">
        <f>IF(ISNUMBER(K35),IF(MAX(ABS(MAX(H35:J35)),ABS(MIN(H35:J35)))=0,"",K35/MAX(ABS(MAX(H35:J35)),ABS(MIN(H35:J35)))),"")</f>
        <v/>
      </c>
      <c r="M35" s="2">
        <f>IF(AND(ISNUMBER(K35),ISNUMBER(L35)),IF(AND(K35&gt;=Ringkasan!$B$10,L35&gt;=Ringkasan!$B$11),"yes",""),"")</f>
        <v/>
      </c>
      <c r="N35" s="2" t="n"/>
      <c r="O35" s="2" t="n"/>
      <c r="Q35" s="2" t="n"/>
      <c r="S35" s="2" t="n"/>
      <c r="U35" s="2" t="n">
        <v>35</v>
      </c>
    </row>
    <row r="36">
      <c r="A36" s="2" t="inlineStr">
        <is>
          <t>4r6gppma3hAfyPgcgix1yHvQd2y4vSqajyNsWJq79Kno</t>
        </is>
      </c>
      <c r="B36" s="2" t="n"/>
      <c r="C36" s="2">
        <f>COUNT(E36:G36)</f>
        <v/>
      </c>
      <c r="D36" s="2" t="inlineStr">
        <is>
          <t>SolanaTracker</t>
        </is>
      </c>
      <c r="E36" s="2" t="n"/>
      <c r="F36" s="2" t="n">
        <v>35</v>
      </c>
      <c r="G36" s="2" t="n"/>
      <c r="H36" s="8" t="n"/>
      <c r="I36" s="8" t="n">
        <v>538.66</v>
      </c>
      <c r="J36" s="8" t="n"/>
      <c r="K36" s="8">
        <f>IF(COUNT(H36:J36)&gt;=2,MAX(H36:J36)-MIN(H36:J36),"")</f>
        <v/>
      </c>
      <c r="L36" s="9">
        <f>IF(ISNUMBER(K36),IF(MAX(ABS(MAX(H36:J36)),ABS(MIN(H36:J36)))=0,"",K36/MAX(ABS(MAX(H36:J36)),ABS(MIN(H36:J36)))),"")</f>
        <v/>
      </c>
      <c r="M36" s="2">
        <f>IF(AND(ISNUMBER(K36),ISNUMBER(L36)),IF(AND(K36&gt;=Ringkasan!$B$10,L36&gt;=Ringkasan!$B$11),"yes",""),"")</f>
        <v/>
      </c>
      <c r="N36" s="2" t="n"/>
      <c r="O36" s="2" t="n"/>
      <c r="Q36" s="2" t="inlineStr">
        <is>
          <t>potential_bot</t>
        </is>
      </c>
      <c r="S36" s="2" t="n"/>
      <c r="U36" s="2" t="n">
        <v>36</v>
      </c>
    </row>
    <row r="37">
      <c r="A37" s="2" t="inlineStr">
        <is>
          <t>7RGojeY6VV5wmH8pkLGqqSupjxcFUxLrda4s72r6DZUo</t>
        </is>
      </c>
      <c r="B37" s="2" t="n"/>
      <c r="C37" s="2">
        <f>COUNT(E37:G37)</f>
        <v/>
      </c>
      <c r="D37" s="2" t="inlineStr">
        <is>
          <t>SolanaTracker</t>
        </is>
      </c>
      <c r="E37" s="2" t="n"/>
      <c r="F37" s="2" t="n">
        <v>36</v>
      </c>
      <c r="G37" s="2" t="n"/>
      <c r="H37" s="8" t="n"/>
      <c r="I37" s="8" t="n">
        <v>526.75</v>
      </c>
      <c r="J37" s="8" t="n"/>
      <c r="K37" s="8">
        <f>IF(COUNT(H37:J37)&gt;=2,MAX(H37:J37)-MIN(H37:J37),"")</f>
        <v/>
      </c>
      <c r="L37" s="9">
        <f>IF(ISNUMBER(K37),IF(MAX(ABS(MAX(H37:J37)),ABS(MIN(H37:J37)))=0,"",K37/MAX(ABS(MAX(H37:J37)),ABS(MIN(H37:J37)))),"")</f>
        <v/>
      </c>
      <c r="M37" s="2">
        <f>IF(AND(ISNUMBER(K37),ISNUMBER(L37)),IF(AND(K37&gt;=Ringkasan!$B$10,L37&gt;=Ringkasan!$B$11),"yes",""),"")</f>
        <v/>
      </c>
      <c r="N37" s="2" t="n"/>
      <c r="O37" s="2" t="n"/>
      <c r="Q37" s="2" t="n"/>
      <c r="S37" s="2" t="n"/>
      <c r="U37" s="2" t="n">
        <v>37</v>
      </c>
    </row>
    <row r="38">
      <c r="A38" s="2" t="inlineStr">
        <is>
          <t>G1R6VYgRM51A469jCsamrdaPAacVuLzfMQhoX7o41mVr</t>
        </is>
      </c>
      <c r="B38" s="2" t="n"/>
      <c r="C38" s="2">
        <f>COUNT(E38:G38)</f>
        <v/>
      </c>
      <c r="D38" s="2" t="inlineStr">
        <is>
          <t>SolanaTracker</t>
        </is>
      </c>
      <c r="E38" s="2" t="n"/>
      <c r="F38" s="2" t="n">
        <v>37</v>
      </c>
      <c r="G38" s="2" t="n"/>
      <c r="H38" s="8" t="n"/>
      <c r="I38" s="8" t="n">
        <v>518.66</v>
      </c>
      <c r="J38" s="8" t="n"/>
      <c r="K38" s="8">
        <f>IF(COUNT(H38:J38)&gt;=2,MAX(H38:J38)-MIN(H38:J38),"")</f>
        <v/>
      </c>
      <c r="L38" s="9">
        <f>IF(ISNUMBER(K38),IF(MAX(ABS(MAX(H38:J38)),ABS(MIN(H38:J38)))=0,"",K38/MAX(ABS(MAX(H38:J38)),ABS(MIN(H38:J38)))),"")</f>
        <v/>
      </c>
      <c r="M38" s="2">
        <f>IF(AND(ISNUMBER(K38),ISNUMBER(L38)),IF(AND(K38&gt;=Ringkasan!$B$10,L38&gt;=Ringkasan!$B$11),"yes",""),"")</f>
        <v/>
      </c>
      <c r="N38" s="2" t="n"/>
      <c r="O38" s="2" t="n"/>
      <c r="Q38" s="2" t="n"/>
      <c r="S38" s="2" t="n"/>
      <c r="U38" s="2" t="n">
        <v>38</v>
      </c>
    </row>
    <row r="39">
      <c r="A39" s="2" t="inlineStr">
        <is>
          <t>BrJ9dnUcbwEL5C7Z53VXuvAMRLbCPGvW1EdcVnwHh5vH</t>
        </is>
      </c>
      <c r="B39" s="2" t="n"/>
      <c r="C39" s="2">
        <f>COUNT(E39:G39)</f>
        <v/>
      </c>
      <c r="D39" s="2" t="inlineStr">
        <is>
          <t>SolanaTracker</t>
        </is>
      </c>
      <c r="E39" s="2" t="n"/>
      <c r="F39" s="2" t="n">
        <v>38</v>
      </c>
      <c r="G39" s="2" t="n"/>
      <c r="H39" s="8" t="n"/>
      <c r="I39" s="8" t="n">
        <v>516.63</v>
      </c>
      <c r="J39" s="8" t="n"/>
      <c r="K39" s="8">
        <f>IF(COUNT(H39:J39)&gt;=2,MAX(H39:J39)-MIN(H39:J39),"")</f>
        <v/>
      </c>
      <c r="L39" s="9">
        <f>IF(ISNUMBER(K39),IF(MAX(ABS(MAX(H39:J39)),ABS(MIN(H39:J39)))=0,"",K39/MAX(ABS(MAX(H39:J39)),ABS(MIN(H39:J39)))),"")</f>
        <v/>
      </c>
      <c r="M39" s="2">
        <f>IF(AND(ISNUMBER(K39),ISNUMBER(L39)),IF(AND(K39&gt;=Ringkasan!$B$10,L39&gt;=Ringkasan!$B$11),"yes",""),"")</f>
        <v/>
      </c>
      <c r="N39" s="2" t="n"/>
      <c r="O39" s="2" t="n"/>
      <c r="Q39" s="2" t="inlineStr">
        <is>
          <t>fomo</t>
        </is>
      </c>
      <c r="S39" s="2" t="n"/>
      <c r="U39" s="2" t="n">
        <v>39</v>
      </c>
    </row>
    <row r="40">
      <c r="A40" s="2" t="inlineStr">
        <is>
          <t>H2SaqLVP8vEXPvesNsFwJUC6rMENxRgDkFmJ2w5xtvrk</t>
        </is>
      </c>
      <c r="B40" s="2" t="n"/>
      <c r="C40" s="2">
        <f>COUNT(E40:G40)</f>
        <v/>
      </c>
      <c r="D40" s="2" t="inlineStr">
        <is>
          <t>SolanaTracker</t>
        </is>
      </c>
      <c r="E40" s="2" t="n"/>
      <c r="F40" s="2" t="n">
        <v>39</v>
      </c>
      <c r="G40" s="2" t="n"/>
      <c r="H40" s="8" t="n"/>
      <c r="I40" s="8" t="n">
        <v>514.14</v>
      </c>
      <c r="J40" s="8" t="n"/>
      <c r="K40" s="8">
        <f>IF(COUNT(H40:J40)&gt;=2,MAX(H40:J40)-MIN(H40:J40),"")</f>
        <v/>
      </c>
      <c r="L40" s="9">
        <f>IF(ISNUMBER(K40),IF(MAX(ABS(MAX(H40:J40)),ABS(MIN(H40:J40)))=0,"",K40/MAX(ABS(MAX(H40:J40)),ABS(MIN(H40:J40)))),"")</f>
        <v/>
      </c>
      <c r="M40" s="2">
        <f>IF(AND(ISNUMBER(K40),ISNUMBER(L40)),IF(AND(K40&gt;=Ringkasan!$B$10,L40&gt;=Ringkasan!$B$11),"yes",""),"")</f>
        <v/>
      </c>
      <c r="N40" s="2" t="n"/>
      <c r="O40" s="2" t="n"/>
      <c r="Q40" s="2" t="n"/>
      <c r="S40" s="2" t="n"/>
      <c r="U40" s="2" t="n">
        <v>40</v>
      </c>
    </row>
    <row r="41">
      <c r="A41" s="2" t="inlineStr">
        <is>
          <t>GzqMvEa5t7CTA9StmDTsuAZvDqgz6EQCf7rkMf9iL7zj</t>
        </is>
      </c>
      <c r="B41" s="2" t="n"/>
      <c r="C41" s="2">
        <f>COUNT(E41:G41)</f>
        <v/>
      </c>
      <c r="D41" s="2" t="inlineStr">
        <is>
          <t>SolanaTracker</t>
        </is>
      </c>
      <c r="E41" s="2" t="n"/>
      <c r="F41" s="2" t="n">
        <v>40</v>
      </c>
      <c r="G41" s="2" t="n"/>
      <c r="H41" s="8" t="n"/>
      <c r="I41" s="8" t="n">
        <v>500.5</v>
      </c>
      <c r="J41" s="8" t="n"/>
      <c r="K41" s="8">
        <f>IF(COUNT(H41:J41)&gt;=2,MAX(H41:J41)-MIN(H41:J41),"")</f>
        <v/>
      </c>
      <c r="L41" s="9">
        <f>IF(ISNUMBER(K41),IF(MAX(ABS(MAX(H41:J41)),ABS(MIN(H41:J41)))=0,"",K41/MAX(ABS(MAX(H41:J41)),ABS(MIN(H41:J41)))),"")</f>
        <v/>
      </c>
      <c r="M41" s="2">
        <f>IF(AND(ISNUMBER(K41),ISNUMBER(L41)),IF(AND(K41&gt;=Ringkasan!$B$10,L41&gt;=Ringkasan!$B$11),"yes",""),"")</f>
        <v/>
      </c>
      <c r="N41" s="2" t="n"/>
      <c r="O41" s="2" t="n"/>
      <c r="Q41" s="2" t="inlineStr">
        <is>
          <t>gmgn</t>
        </is>
      </c>
      <c r="S41" s="2" t="n"/>
      <c r="U41" s="2" t="n">
        <v>41</v>
      </c>
    </row>
    <row r="42">
      <c r="A42" s="2" t="inlineStr">
        <is>
          <t>4k8fBoL4LtEKrmWWxdyNrKpXnjxYrocK6DHU9gSbrC6s</t>
        </is>
      </c>
      <c r="B42" s="2" t="n"/>
      <c r="C42" s="2">
        <f>COUNT(E42:G42)</f>
        <v/>
      </c>
      <c r="D42" s="2" t="inlineStr">
        <is>
          <t>SolanaTracker</t>
        </is>
      </c>
      <c r="E42" s="2" t="n"/>
      <c r="F42" s="2" t="n">
        <v>41</v>
      </c>
      <c r="G42" s="2" t="n"/>
      <c r="H42" s="8" t="n"/>
      <c r="I42" s="8" t="n">
        <v>489.28</v>
      </c>
      <c r="J42" s="8" t="n"/>
      <c r="K42" s="8">
        <f>IF(COUNT(H42:J42)&gt;=2,MAX(H42:J42)-MIN(H42:J42),"")</f>
        <v/>
      </c>
      <c r="L42" s="9">
        <f>IF(ISNUMBER(K42),IF(MAX(ABS(MAX(H42:J42)),ABS(MIN(H42:J42)))=0,"",K42/MAX(ABS(MAX(H42:J42)),ABS(MIN(H42:J42)))),"")</f>
        <v/>
      </c>
      <c r="M42" s="2">
        <f>IF(AND(ISNUMBER(K42),ISNUMBER(L42)),IF(AND(K42&gt;=Ringkasan!$B$10,L42&gt;=Ringkasan!$B$11),"yes",""),"")</f>
        <v/>
      </c>
      <c r="N42" s="2" t="n"/>
      <c r="O42" s="2" t="n"/>
      <c r="Q42" s="2" t="inlineStr">
        <is>
          <t>terminal</t>
        </is>
      </c>
      <c r="S42" s="2" t="n"/>
      <c r="U42" s="2" t="n">
        <v>42</v>
      </c>
    </row>
    <row r="43">
      <c r="A43" s="2" t="inlineStr">
        <is>
          <t>EydyXYJ2V9Up79wCCoj2heMBRSUSDqFnQtVEDwESmY4n</t>
        </is>
      </c>
      <c r="B43" s="2" t="n"/>
      <c r="C43" s="2">
        <f>COUNT(E43:G43)</f>
        <v/>
      </c>
      <c r="D43" s="2" t="inlineStr">
        <is>
          <t>SolanaTracker</t>
        </is>
      </c>
      <c r="E43" s="2" t="n"/>
      <c r="F43" s="2" t="n">
        <v>42</v>
      </c>
      <c r="G43" s="2" t="n"/>
      <c r="H43" s="8" t="n"/>
      <c r="I43" s="8" t="n">
        <v>479.66</v>
      </c>
      <c r="J43" s="8" t="n"/>
      <c r="K43" s="8">
        <f>IF(COUNT(H43:J43)&gt;=2,MAX(H43:J43)-MIN(H43:J43),"")</f>
        <v/>
      </c>
      <c r="L43" s="9">
        <f>IF(ISNUMBER(K43),IF(MAX(ABS(MAX(H43:J43)),ABS(MIN(H43:J43)))=0,"",K43/MAX(ABS(MAX(H43:J43)),ABS(MIN(H43:J43)))),"")</f>
        <v/>
      </c>
      <c r="M43" s="2">
        <f>IF(AND(ISNUMBER(K43),ISNUMBER(L43)),IF(AND(K43&gt;=Ringkasan!$B$10,L43&gt;=Ringkasan!$B$11),"yes",""),"")</f>
        <v/>
      </c>
      <c r="N43" s="2" t="n"/>
      <c r="O43" s="2" t="n"/>
      <c r="Q43" s="2" t="n"/>
      <c r="S43" s="2" t="n"/>
      <c r="U43" s="2" t="n">
        <v>43</v>
      </c>
    </row>
    <row r="44">
      <c r="A44" s="2" t="inlineStr">
        <is>
          <t>B72eGByiZhQDtv264mHgsN7FWxoqbAXbRFmrFUr3zhPW</t>
        </is>
      </c>
      <c r="B44" s="2" t="n"/>
      <c r="C44" s="2">
        <f>COUNT(E44:G44)</f>
        <v/>
      </c>
      <c r="D44" s="2" t="inlineStr">
        <is>
          <t>SolanaTracker</t>
        </is>
      </c>
      <c r="E44" s="2" t="n"/>
      <c r="F44" s="2" t="n">
        <v>43</v>
      </c>
      <c r="G44" s="2" t="n"/>
      <c r="H44" s="8" t="n"/>
      <c r="I44" s="8" t="n">
        <v>451.72</v>
      </c>
      <c r="J44" s="8" t="n"/>
      <c r="K44" s="8">
        <f>IF(COUNT(H44:J44)&gt;=2,MAX(H44:J44)-MIN(H44:J44),"")</f>
        <v/>
      </c>
      <c r="L44" s="9">
        <f>IF(ISNUMBER(K44),IF(MAX(ABS(MAX(H44:J44)),ABS(MIN(H44:J44)))=0,"",K44/MAX(ABS(MAX(H44:J44)),ABS(MIN(H44:J44)))),"")</f>
        <v/>
      </c>
      <c r="M44" s="2">
        <f>IF(AND(ISNUMBER(K44),ISNUMBER(L44)),IF(AND(K44&gt;=Ringkasan!$B$10,L44&gt;=Ringkasan!$B$11),"yes",""),"")</f>
        <v/>
      </c>
      <c r="N44" s="2" t="n"/>
      <c r="O44" s="2" t="n"/>
      <c r="Q44" s="2" t="n"/>
      <c r="S44" s="2" t="n"/>
      <c r="U44" s="2" t="n">
        <v>44</v>
      </c>
    </row>
    <row r="45">
      <c r="A45" s="2" t="inlineStr">
        <is>
          <t>EMzWTFDSaufY5iE6XyAgmWMEt2G1YR79uvNyQisgB9Hv</t>
        </is>
      </c>
      <c r="B45" s="2" t="inlineStr">
        <is>
          <t>moontunaunwarys</t>
        </is>
      </c>
      <c r="C45" s="2">
        <f>COUNT(E45:G45)</f>
        <v/>
      </c>
      <c r="D45" s="2" t="inlineStr">
        <is>
          <t>SolanaTracker</t>
        </is>
      </c>
      <c r="E45" s="2" t="n"/>
      <c r="F45" s="2" t="n">
        <v>44</v>
      </c>
      <c r="G45" s="2" t="n"/>
      <c r="H45" s="8" t="n"/>
      <c r="I45" s="8" t="n">
        <v>450.42</v>
      </c>
      <c r="J45" s="8" t="n"/>
      <c r="K45" s="8">
        <f>IF(COUNT(H45:J45)&gt;=2,MAX(H45:J45)-MIN(H45:J45),"")</f>
        <v/>
      </c>
      <c r="L45" s="9">
        <f>IF(ISNUMBER(K45),IF(MAX(ABS(MAX(H45:J45)),ABS(MIN(H45:J45)))=0,"",K45/MAX(ABS(MAX(H45:J45)),ABS(MIN(H45:J45)))),"")</f>
        <v/>
      </c>
      <c r="M45" s="2">
        <f>IF(AND(ISNUMBER(K45),ISNUMBER(L45)),IF(AND(K45&gt;=Ringkasan!$B$10,L45&gt;=Ringkasan!$B$11),"yes",""),"")</f>
        <v/>
      </c>
      <c r="N45" s="2" t="n"/>
      <c r="O45" s="2" t="n"/>
      <c r="Q45" s="2" t="inlineStr">
        <is>
          <t>pumpfun-app</t>
        </is>
      </c>
      <c r="S45" s="2" t="n"/>
      <c r="U45" s="2" t="n">
        <v>45</v>
      </c>
    </row>
    <row r="46">
      <c r="A46" s="2" t="inlineStr">
        <is>
          <t>3MKF2eLSTSzt7QYycaLMQp1WnmG7nWVXk6GAXV6rxpdv</t>
        </is>
      </c>
      <c r="B46" s="2" t="n"/>
      <c r="C46" s="2">
        <f>COUNT(E46:G46)</f>
        <v/>
      </c>
      <c r="D46" s="2" t="inlineStr">
        <is>
          <t>SolanaTracker</t>
        </is>
      </c>
      <c r="E46" s="2" t="n"/>
      <c r="F46" s="2" t="n">
        <v>45</v>
      </c>
      <c r="G46" s="2" t="n"/>
      <c r="H46" s="8" t="n"/>
      <c r="I46" s="8" t="n">
        <v>446.76</v>
      </c>
      <c r="J46" s="8" t="n"/>
      <c r="K46" s="8">
        <f>IF(COUNT(H46:J46)&gt;=2,MAX(H46:J46)-MIN(H46:J46),"")</f>
        <v/>
      </c>
      <c r="L46" s="9">
        <f>IF(ISNUMBER(K46),IF(MAX(ABS(MAX(H46:J46)),ABS(MIN(H46:J46)))=0,"",K46/MAX(ABS(MAX(H46:J46)),ABS(MIN(H46:J46)))),"")</f>
        <v/>
      </c>
      <c r="M46" s="2">
        <f>IF(AND(ISNUMBER(K46),ISNUMBER(L46)),IF(AND(K46&gt;=Ringkasan!$B$10,L46&gt;=Ringkasan!$B$11),"yes",""),"")</f>
        <v/>
      </c>
      <c r="N46" s="2" t="n"/>
      <c r="O46" s="2" t="n"/>
      <c r="Q46" s="2" t="n"/>
      <c r="S46" s="2" t="n"/>
      <c r="U46" s="2" t="n">
        <v>46</v>
      </c>
    </row>
    <row r="47">
      <c r="A47" s="2" t="inlineStr">
        <is>
          <t>6LAVrzodQsQjCuvYSiAbUzZ8A1NKwqsZwgFshoCzTsbo</t>
        </is>
      </c>
      <c r="B47" s="2" t="inlineStr">
        <is>
          <t>domi</t>
        </is>
      </c>
      <c r="C47" s="2">
        <f>COUNT(E47:G47)</f>
        <v/>
      </c>
      <c r="D47" s="2" t="inlineStr">
        <is>
          <t>SolanaTracker</t>
        </is>
      </c>
      <c r="E47" s="2" t="n"/>
      <c r="F47" s="2" t="n">
        <v>46</v>
      </c>
      <c r="G47" s="2" t="n"/>
      <c r="H47" s="8" t="n"/>
      <c r="I47" s="8" t="n">
        <v>442.63</v>
      </c>
      <c r="J47" s="8" t="n"/>
      <c r="K47" s="8">
        <f>IF(COUNT(H47:J47)&gt;=2,MAX(H47:J47)-MIN(H47:J47),"")</f>
        <v/>
      </c>
      <c r="L47" s="9">
        <f>IF(ISNUMBER(K47),IF(MAX(ABS(MAX(H47:J47)),ABS(MIN(H47:J47)))=0,"",K47/MAX(ABS(MAX(H47:J47)),ABS(MIN(H47:J47)))),"")</f>
        <v/>
      </c>
      <c r="M47" s="2">
        <f>IF(AND(ISNUMBER(K47),ISNUMBER(L47)),IF(AND(K47&gt;=Ringkasan!$B$10,L47&gt;=Ringkasan!$B$11),"yes",""),"")</f>
        <v/>
      </c>
      <c r="N47" s="2" t="n"/>
      <c r="O47" s="2" t="n"/>
      <c r="Q47" s="2" t="inlineStr">
        <is>
          <t>axiom; fomo</t>
        </is>
      </c>
      <c r="S47" s="2" t="n"/>
      <c r="U47" s="2" t="n">
        <v>47</v>
      </c>
    </row>
    <row r="48">
      <c r="A48" s="2" t="inlineStr">
        <is>
          <t>A4r7EyPxDc5TZ2nJSVUSQCnX7zwaJzEtq66bU2p6G7ZY</t>
        </is>
      </c>
      <c r="B48" s="2" t="inlineStr">
        <is>
          <t>moonmarlinworth</t>
        </is>
      </c>
      <c r="C48" s="2">
        <f>COUNT(E48:G48)</f>
        <v/>
      </c>
      <c r="D48" s="2" t="inlineStr">
        <is>
          <t>SolanaTracker</t>
        </is>
      </c>
      <c r="E48" s="2" t="n"/>
      <c r="F48" s="2" t="n">
        <v>47</v>
      </c>
      <c r="G48" s="2" t="n"/>
      <c r="H48" s="8" t="n"/>
      <c r="I48" s="8" t="n">
        <v>440.05</v>
      </c>
      <c r="J48" s="8" t="n"/>
      <c r="K48" s="8">
        <f>IF(COUNT(H48:J48)&gt;=2,MAX(H48:J48)-MIN(H48:J48),"")</f>
        <v/>
      </c>
      <c r="L48" s="9">
        <f>IF(ISNUMBER(K48),IF(MAX(ABS(MAX(H48:J48)),ABS(MIN(H48:J48)))=0,"",K48/MAX(ABS(MAX(H48:J48)),ABS(MIN(H48:J48)))),"")</f>
        <v/>
      </c>
      <c r="M48" s="2">
        <f>IF(AND(ISNUMBER(K48),ISNUMBER(L48)),IF(AND(K48&gt;=Ringkasan!$B$10,L48&gt;=Ringkasan!$B$11),"yes",""),"")</f>
        <v/>
      </c>
      <c r="N48" s="2" t="n"/>
      <c r="O48" s="2" t="n"/>
      <c r="Q48" s="2" t="inlineStr">
        <is>
          <t>pumpfun-app</t>
        </is>
      </c>
      <c r="S48" s="2" t="n"/>
      <c r="U48" s="2" t="n">
        <v>48</v>
      </c>
    </row>
    <row r="49">
      <c r="A49" s="2" t="inlineStr">
        <is>
          <t>6iWLSnyRQZnwQnqjLaMyzWxKDJhhLZ54AiB42po41iu3</t>
        </is>
      </c>
      <c r="B49" s="2" t="inlineStr">
        <is>
          <t>myldodkdnkfkn</t>
        </is>
      </c>
      <c r="C49" s="2">
        <f>COUNT(E49:G49)</f>
        <v/>
      </c>
      <c r="D49" s="2" t="inlineStr">
        <is>
          <t>SolanaTracker</t>
        </is>
      </c>
      <c r="E49" s="2" t="n"/>
      <c r="F49" s="2" t="n">
        <v>48</v>
      </c>
      <c r="G49" s="2" t="n"/>
      <c r="H49" s="8" t="n"/>
      <c r="I49" s="8" t="n">
        <v>438.52</v>
      </c>
      <c r="J49" s="8" t="n"/>
      <c r="K49" s="8">
        <f>IF(COUNT(H49:J49)&gt;=2,MAX(H49:J49)-MIN(H49:J49),"")</f>
        <v/>
      </c>
      <c r="L49" s="9">
        <f>IF(ISNUMBER(K49),IF(MAX(ABS(MAX(H49:J49)),ABS(MIN(H49:J49)))=0,"",K49/MAX(ABS(MAX(H49:J49)),ABS(MIN(H49:J49)))),"")</f>
        <v/>
      </c>
      <c r="M49" s="2">
        <f>IF(AND(ISNUMBER(K49),ISNUMBER(L49)),IF(AND(K49&gt;=Ringkasan!$B$10,L49&gt;=Ringkasan!$B$11),"yes",""),"")</f>
        <v/>
      </c>
      <c r="N49" s="2" t="n"/>
      <c r="O49" s="2" t="n"/>
      <c r="Q49" s="2" t="inlineStr">
        <is>
          <t>pumpfun-app</t>
        </is>
      </c>
      <c r="S49" s="2" t="n"/>
      <c r="U49" s="2" t="n">
        <v>49</v>
      </c>
    </row>
    <row r="50">
      <c r="A50" s="2" t="inlineStr">
        <is>
          <t>4sAUSQFdvWRBxR8UoLBYbw8CcXuwXWxnN8pXa4mtm5nU</t>
        </is>
      </c>
      <c r="B50" s="2" t="inlineStr">
        <is>
          <t>Scharo</t>
        </is>
      </c>
      <c r="C50" s="2">
        <f>COUNT(E50:G50)</f>
        <v/>
      </c>
      <c r="D50" s="2" t="inlineStr">
        <is>
          <t>SolanaTracker</t>
        </is>
      </c>
      <c r="E50" s="2" t="n"/>
      <c r="F50" s="2" t="n">
        <v>49</v>
      </c>
      <c r="G50" s="2" t="n"/>
      <c r="H50" s="8" t="n"/>
      <c r="I50" s="8" t="n">
        <v>428.22</v>
      </c>
      <c r="J50" s="8" t="n"/>
      <c r="K50" s="8">
        <f>IF(COUNT(H50:J50)&gt;=2,MAX(H50:J50)-MIN(H50:J50),"")</f>
        <v/>
      </c>
      <c r="L50" s="9">
        <f>IF(ISNUMBER(K50),IF(MAX(ABS(MAX(H50:J50)),ABS(MIN(H50:J50)))=0,"",K50/MAX(ABS(MAX(H50:J50)),ABS(MIN(H50:J50)))),"")</f>
        <v/>
      </c>
      <c r="M50" s="2">
        <f>IF(AND(ISNUMBER(K50),ISNUMBER(L50)),IF(AND(K50&gt;=Ringkasan!$B$10,L50&gt;=Ringkasan!$B$11),"yes",""),"")</f>
        <v/>
      </c>
      <c r="N50" s="2" t="n"/>
      <c r="O50" s="2" t="n"/>
      <c r="Q50" s="2" t="inlineStr">
        <is>
          <t>kol; gmgn; terminal; axiom</t>
        </is>
      </c>
      <c r="S50" s="2" t="n"/>
      <c r="U50" s="2" t="n">
        <v>50</v>
      </c>
    </row>
    <row r="51">
      <c r="A51" s="2" t="inlineStr">
        <is>
          <t>3ZTHau1uWSd4ZRgQnn17C23vTra4Mv2fDAXMuC1w3msB</t>
        </is>
      </c>
      <c r="B51" s="2" t="n"/>
      <c r="C51" s="2">
        <f>COUNT(E51:G51)</f>
        <v/>
      </c>
      <c r="D51" s="2" t="inlineStr">
        <is>
          <t>SolanaTracker</t>
        </is>
      </c>
      <c r="E51" s="2" t="n"/>
      <c r="F51" s="2" t="n">
        <v>50</v>
      </c>
      <c r="G51" s="2" t="n"/>
      <c r="H51" s="8" t="n"/>
      <c r="I51" s="8" t="n">
        <v>424.69</v>
      </c>
      <c r="J51" s="8" t="n"/>
      <c r="K51" s="8">
        <f>IF(COUNT(H51:J51)&gt;=2,MAX(H51:J51)-MIN(H51:J51),"")</f>
        <v/>
      </c>
      <c r="L51" s="9">
        <f>IF(ISNUMBER(K51),IF(MAX(ABS(MAX(H51:J51)),ABS(MIN(H51:J51)))=0,"",K51/MAX(ABS(MAX(H51:J51)),ABS(MIN(H51:J51)))),"")</f>
        <v/>
      </c>
      <c r="M51" s="2">
        <f>IF(AND(ISNUMBER(K51),ISNUMBER(L51)),IF(AND(K51&gt;=Ringkasan!$B$10,L51&gt;=Ringkasan!$B$11),"yes",""),"")</f>
        <v/>
      </c>
      <c r="N51" s="2" t="n"/>
      <c r="O51" s="2" t="n"/>
      <c r="Q51" s="2" t="n"/>
      <c r="S51" s="2" t="n"/>
      <c r="U51" s="2" t="n">
        <v>51</v>
      </c>
    </row>
    <row r="52">
      <c r="A52" s="2" t="inlineStr">
        <is>
          <t>9eYLsB4CYerTRnHWEgbS3gjamsyeD9bHdWJYEmQudp4L</t>
        </is>
      </c>
      <c r="B52" s="2" t="n"/>
      <c r="C52" s="2">
        <f>COUNT(E52:G52)</f>
        <v/>
      </c>
      <c r="D52" s="2" t="inlineStr">
        <is>
          <t>SolanaTracker</t>
        </is>
      </c>
      <c r="E52" s="2" t="n"/>
      <c r="F52" s="2" t="n">
        <v>51</v>
      </c>
      <c r="G52" s="2" t="n"/>
      <c r="H52" s="8" t="n"/>
      <c r="I52" s="8" t="n">
        <v>410.65</v>
      </c>
      <c r="J52" s="8" t="n"/>
      <c r="K52" s="8">
        <f>IF(COUNT(H52:J52)&gt;=2,MAX(H52:J52)-MIN(H52:J52),"")</f>
        <v/>
      </c>
      <c r="L52" s="9">
        <f>IF(ISNUMBER(K52),IF(MAX(ABS(MAX(H52:J52)),ABS(MIN(H52:J52)))=0,"",K52/MAX(ABS(MAX(H52:J52)),ABS(MIN(H52:J52)))),"")</f>
        <v/>
      </c>
      <c r="M52" s="2">
        <f>IF(AND(ISNUMBER(K52),ISNUMBER(L52)),IF(AND(K52&gt;=Ringkasan!$B$10,L52&gt;=Ringkasan!$B$11),"yes",""),"")</f>
        <v/>
      </c>
      <c r="N52" s="2" t="n"/>
      <c r="O52" s="2" t="n"/>
      <c r="Q52" s="2" t="inlineStr">
        <is>
          <t>gmgn</t>
        </is>
      </c>
      <c r="S52" s="2" t="n"/>
      <c r="U52" s="2" t="n">
        <v>52</v>
      </c>
    </row>
    <row r="53">
      <c r="A53" s="2" t="inlineStr">
        <is>
          <t>Cgm5wvnCRJEyhAaFwHvAJMnd8ygoiJ6ezbVLtKbDJcEC</t>
        </is>
      </c>
      <c r="B53" s="2" t="inlineStr">
        <is>
          <t>BagFogPerigee</t>
        </is>
      </c>
      <c r="C53" s="2">
        <f>COUNT(E53:G53)</f>
        <v/>
      </c>
      <c r="D53" s="2" t="inlineStr">
        <is>
          <t>SolanaTracker</t>
        </is>
      </c>
      <c r="E53" s="2" t="n"/>
      <c r="F53" s="2" t="n">
        <v>52</v>
      </c>
      <c r="G53" s="2" t="n"/>
      <c r="H53" s="8" t="n"/>
      <c r="I53" s="8" t="n">
        <v>403.75</v>
      </c>
      <c r="J53" s="8" t="n"/>
      <c r="K53" s="8">
        <f>IF(COUNT(H53:J53)&gt;=2,MAX(H53:J53)-MIN(H53:J53),"")</f>
        <v/>
      </c>
      <c r="L53" s="9">
        <f>IF(ISNUMBER(K53),IF(MAX(ABS(MAX(H53:J53)),ABS(MIN(H53:J53)))=0,"",K53/MAX(ABS(MAX(H53:J53)),ABS(MIN(H53:J53)))),"")</f>
        <v/>
      </c>
      <c r="M53" s="2">
        <f>IF(AND(ISNUMBER(K53),ISNUMBER(L53)),IF(AND(K53&gt;=Ringkasan!$B$10,L53&gt;=Ringkasan!$B$11),"yes",""),"")</f>
        <v/>
      </c>
      <c r="N53" s="2" t="n"/>
      <c r="O53" s="2" t="n"/>
      <c r="Q53" s="2" t="inlineStr">
        <is>
          <t>terminal; pumpfun-app</t>
        </is>
      </c>
      <c r="S53" s="2" t="n"/>
      <c r="U53" s="2" t="n">
        <v>53</v>
      </c>
    </row>
    <row r="54">
      <c r="A54" s="2" t="inlineStr">
        <is>
          <t>22sLXT5bZGoCYnwDiBLm3A1uSncwMtSUMJeZYgYD6xok</t>
        </is>
      </c>
      <c r="B54" s="2" t="inlineStr">
        <is>
          <t>reb2021</t>
        </is>
      </c>
      <c r="C54" s="2">
        <f>COUNT(E54:G54)</f>
        <v/>
      </c>
      <c r="D54" s="2" t="inlineStr">
        <is>
          <t>SolanaTracker</t>
        </is>
      </c>
      <c r="E54" s="2" t="n"/>
      <c r="F54" s="2" t="n">
        <v>53</v>
      </c>
      <c r="G54" s="2" t="n"/>
      <c r="H54" s="8" t="n"/>
      <c r="I54" s="8" t="n">
        <v>403.51</v>
      </c>
      <c r="J54" s="8" t="n"/>
      <c r="K54" s="8">
        <f>IF(COUNT(H54:J54)&gt;=2,MAX(H54:J54)-MIN(H54:J54),"")</f>
        <v/>
      </c>
      <c r="L54" s="9">
        <f>IF(ISNUMBER(K54),IF(MAX(ABS(MAX(H54:J54)),ABS(MIN(H54:J54)))=0,"",K54/MAX(ABS(MAX(H54:J54)),ABS(MIN(H54:J54)))),"")</f>
        <v/>
      </c>
      <c r="M54" s="2">
        <f>IF(AND(ISNUMBER(K54),ISNUMBER(L54)),IF(AND(K54&gt;=Ringkasan!$B$10,L54&gt;=Ringkasan!$B$11),"yes",""),"")</f>
        <v/>
      </c>
      <c r="N54" s="2" t="n"/>
      <c r="O54" s="2" t="n"/>
      <c r="Q54" s="2" t="inlineStr">
        <is>
          <t>pumpfun-app</t>
        </is>
      </c>
      <c r="S54" s="2" t="n"/>
      <c r="U54" s="2" t="n">
        <v>54</v>
      </c>
    </row>
    <row r="55">
      <c r="A55" s="2" t="inlineStr">
        <is>
          <t>HZyJNKiMYYgpvd7xK36tGkdG1xf9SkNQjNy8koSDcGyA</t>
        </is>
      </c>
      <c r="B55" s="2" t="n"/>
      <c r="C55" s="2">
        <f>COUNT(E55:G55)</f>
        <v/>
      </c>
      <c r="D55" s="2" t="inlineStr">
        <is>
          <t>SolanaTracker</t>
        </is>
      </c>
      <c r="E55" s="2" t="n"/>
      <c r="F55" s="2" t="n">
        <v>54</v>
      </c>
      <c r="G55" s="2" t="n"/>
      <c r="H55" s="8" t="n"/>
      <c r="I55" s="8" t="n">
        <v>391.81</v>
      </c>
      <c r="J55" s="8" t="n"/>
      <c r="K55" s="8">
        <f>IF(COUNT(H55:J55)&gt;=2,MAX(H55:J55)-MIN(H55:J55),"")</f>
        <v/>
      </c>
      <c r="L55" s="9">
        <f>IF(ISNUMBER(K55),IF(MAX(ABS(MAX(H55:J55)),ABS(MIN(H55:J55)))=0,"",K55/MAX(ABS(MAX(H55:J55)),ABS(MIN(H55:J55)))),"")</f>
        <v/>
      </c>
      <c r="M55" s="2">
        <f>IF(AND(ISNUMBER(K55),ISNUMBER(L55)),IF(AND(K55&gt;=Ringkasan!$B$10,L55&gt;=Ringkasan!$B$11),"yes",""),"")</f>
        <v/>
      </c>
      <c r="N55" s="2" t="n"/>
      <c r="O55" s="2" t="n"/>
      <c r="Q55" s="2" t="inlineStr">
        <is>
          <t>gmgn; terminal; bloom</t>
        </is>
      </c>
      <c r="S55" s="2" t="n"/>
      <c r="U55" s="2" t="n">
        <v>55</v>
      </c>
    </row>
    <row r="56">
      <c r="A56" s="2" t="inlineStr">
        <is>
          <t>5sXkHQNsgyBfa4XiS6wLLULBHxjZzEZ5hX5SuvR31LB8</t>
        </is>
      </c>
      <c r="B56" s="2" t="n"/>
      <c r="C56" s="2">
        <f>COUNT(E56:G56)</f>
        <v/>
      </c>
      <c r="D56" s="2" t="inlineStr">
        <is>
          <t>SolanaTracker</t>
        </is>
      </c>
      <c r="E56" s="2" t="n"/>
      <c r="F56" s="2" t="n">
        <v>55</v>
      </c>
      <c r="G56" s="2" t="n"/>
      <c r="H56" s="8" t="n"/>
      <c r="I56" s="8" t="n">
        <v>368.89</v>
      </c>
      <c r="J56" s="8" t="n"/>
      <c r="K56" s="8">
        <f>IF(COUNT(H56:J56)&gt;=2,MAX(H56:J56)-MIN(H56:J56),"")</f>
        <v/>
      </c>
      <c r="L56" s="9">
        <f>IF(ISNUMBER(K56),IF(MAX(ABS(MAX(H56:J56)),ABS(MIN(H56:J56)))=0,"",K56/MAX(ABS(MAX(H56:J56)),ABS(MIN(H56:J56)))),"")</f>
        <v/>
      </c>
      <c r="M56" s="2">
        <f>IF(AND(ISNUMBER(K56),ISNUMBER(L56)),IF(AND(K56&gt;=Ringkasan!$B$10,L56&gt;=Ringkasan!$B$11),"yes",""),"")</f>
        <v/>
      </c>
      <c r="N56" s="2" t="n"/>
      <c r="O56" s="2" t="n"/>
      <c r="Q56" s="2" t="inlineStr">
        <is>
          <t>potential_bot; gmgn</t>
        </is>
      </c>
      <c r="S56" s="2" t="n"/>
      <c r="U56" s="2" t="n">
        <v>56</v>
      </c>
    </row>
    <row r="57">
      <c r="A57" s="2" t="inlineStr">
        <is>
          <t>CcJX975YTw8owyuRwyC1m9pyC3ZhRp89VM12pfUfDBcf</t>
        </is>
      </c>
      <c r="B57" s="2" t="inlineStr">
        <is>
          <t>crackthecode</t>
        </is>
      </c>
      <c r="C57" s="2">
        <f>COUNT(E57:G57)</f>
        <v/>
      </c>
      <c r="D57" s="2" t="inlineStr">
        <is>
          <t>SolanaTracker</t>
        </is>
      </c>
      <c r="E57" s="2" t="n"/>
      <c r="F57" s="2" t="n">
        <v>56</v>
      </c>
      <c r="G57" s="2" t="n"/>
      <c r="H57" s="8" t="n"/>
      <c r="I57" s="8" t="n">
        <v>344.98</v>
      </c>
      <c r="J57" s="8" t="n"/>
      <c r="K57" s="8">
        <f>IF(COUNT(H57:J57)&gt;=2,MAX(H57:J57)-MIN(H57:J57),"")</f>
        <v/>
      </c>
      <c r="L57" s="9">
        <f>IF(ISNUMBER(K57),IF(MAX(ABS(MAX(H57:J57)),ABS(MIN(H57:J57)))=0,"",K57/MAX(ABS(MAX(H57:J57)),ABS(MIN(H57:J57)))),"")</f>
        <v/>
      </c>
      <c r="M57" s="2">
        <f>IF(AND(ISNUMBER(K57),ISNUMBER(L57)),IF(AND(K57&gt;=Ringkasan!$B$10,L57&gt;=Ringkasan!$B$11),"yes",""),"")</f>
        <v/>
      </c>
      <c r="N57" s="2" t="n"/>
      <c r="O57" s="2" t="n"/>
      <c r="Q57" s="2" t="inlineStr">
        <is>
          <t>pumpfun-app</t>
        </is>
      </c>
      <c r="S57" s="2" t="n"/>
      <c r="U57" s="2" t="n">
        <v>57</v>
      </c>
    </row>
    <row r="58">
      <c r="A58" s="2" t="inlineStr">
        <is>
          <t>3wskDfgvMtEMwJ1gjWBqmfryZPzBU4rML4Apjs2K8UgJ</t>
        </is>
      </c>
      <c r="B58" s="2" t="n"/>
      <c r="C58" s="2">
        <f>COUNT(E58:G58)</f>
        <v/>
      </c>
      <c r="D58" s="2" t="inlineStr">
        <is>
          <t>SolanaTracker</t>
        </is>
      </c>
      <c r="E58" s="2" t="n"/>
      <c r="F58" s="2" t="n">
        <v>57</v>
      </c>
      <c r="G58" s="2" t="n"/>
      <c r="H58" s="8" t="n"/>
      <c r="I58" s="8" t="n">
        <v>333.89</v>
      </c>
      <c r="J58" s="8" t="n"/>
      <c r="K58" s="8">
        <f>IF(COUNT(H58:J58)&gt;=2,MAX(H58:J58)-MIN(H58:J58),"")</f>
        <v/>
      </c>
      <c r="L58" s="9">
        <f>IF(ISNUMBER(K58),IF(MAX(ABS(MAX(H58:J58)),ABS(MIN(H58:J58)))=0,"",K58/MAX(ABS(MAX(H58:J58)),ABS(MIN(H58:J58)))),"")</f>
        <v/>
      </c>
      <c r="M58" s="2">
        <f>IF(AND(ISNUMBER(K58),ISNUMBER(L58)),IF(AND(K58&gt;=Ringkasan!$B$10,L58&gt;=Ringkasan!$B$11),"yes",""),"")</f>
        <v/>
      </c>
      <c r="N58" s="2" t="n"/>
      <c r="O58" s="2" t="n"/>
      <c r="Q58" s="2" t="inlineStr">
        <is>
          <t>potential_bot; axiom; bloom</t>
        </is>
      </c>
      <c r="S58" s="2" t="n"/>
      <c r="U58" s="2" t="n">
        <v>58</v>
      </c>
    </row>
    <row r="59">
      <c r="A59" s="2" t="inlineStr">
        <is>
          <t>4sdvDXxXosimgo6wdgmQSeiPaq18H7aLUj7xHaD2G38j</t>
        </is>
      </c>
      <c r="B59" s="2" t="n"/>
      <c r="C59" s="2">
        <f>COUNT(E59:G59)</f>
        <v/>
      </c>
      <c r="D59" s="2" t="inlineStr">
        <is>
          <t>SolanaTracker</t>
        </is>
      </c>
      <c r="E59" s="2" t="n"/>
      <c r="F59" s="2" t="n">
        <v>58</v>
      </c>
      <c r="G59" s="2" t="n"/>
      <c r="H59" s="8" t="n"/>
      <c r="I59" s="8" t="n">
        <v>332.88</v>
      </c>
      <c r="J59" s="8" t="n"/>
      <c r="K59" s="8">
        <f>IF(COUNT(H59:J59)&gt;=2,MAX(H59:J59)-MIN(H59:J59),"")</f>
        <v/>
      </c>
      <c r="L59" s="9">
        <f>IF(ISNUMBER(K59),IF(MAX(ABS(MAX(H59:J59)),ABS(MIN(H59:J59)))=0,"",K59/MAX(ABS(MAX(H59:J59)),ABS(MIN(H59:J59)))),"")</f>
        <v/>
      </c>
      <c r="M59" s="2">
        <f>IF(AND(ISNUMBER(K59),ISNUMBER(L59)),IF(AND(K59&gt;=Ringkasan!$B$10,L59&gt;=Ringkasan!$B$11),"yes",""),"")</f>
        <v/>
      </c>
      <c r="N59" s="2" t="n"/>
      <c r="O59" s="2" t="n"/>
      <c r="Q59" s="2" t="inlineStr">
        <is>
          <t>terminal</t>
        </is>
      </c>
      <c r="S59" s="2" t="n"/>
      <c r="U59" s="2" t="n">
        <v>59</v>
      </c>
    </row>
    <row r="60">
      <c r="A60" s="2" t="inlineStr">
        <is>
          <t>882JBR2wMcMTMTY9fkrnUDgMvJchhmYiBnAMoKYkZMhS</t>
        </is>
      </c>
      <c r="B60" s="2" t="n"/>
      <c r="C60" s="2">
        <f>COUNT(E60:G60)</f>
        <v/>
      </c>
      <c r="D60" s="2" t="inlineStr">
        <is>
          <t>SolanaTracker</t>
        </is>
      </c>
      <c r="E60" s="2" t="n"/>
      <c r="F60" s="2" t="n">
        <v>59</v>
      </c>
      <c r="G60" s="2" t="n"/>
      <c r="H60" s="8" t="n"/>
      <c r="I60" s="8" t="n">
        <v>328.65</v>
      </c>
      <c r="J60" s="8" t="n"/>
      <c r="K60" s="8">
        <f>IF(COUNT(H60:J60)&gt;=2,MAX(H60:J60)-MIN(H60:J60),"")</f>
        <v/>
      </c>
      <c r="L60" s="9">
        <f>IF(ISNUMBER(K60),IF(MAX(ABS(MAX(H60:J60)),ABS(MIN(H60:J60)))=0,"",K60/MAX(ABS(MAX(H60:J60)),ABS(MIN(H60:J60)))),"")</f>
        <v/>
      </c>
      <c r="M60" s="2">
        <f>IF(AND(ISNUMBER(K60),ISNUMBER(L60)),IF(AND(K60&gt;=Ringkasan!$B$10,L60&gt;=Ringkasan!$B$11),"yes",""),"")</f>
        <v/>
      </c>
      <c r="N60" s="2" t="n"/>
      <c r="O60" s="2" t="n"/>
      <c r="Q60" s="2" t="n"/>
      <c r="S60" s="2" t="n"/>
      <c r="U60" s="2" t="n">
        <v>60</v>
      </c>
    </row>
    <row r="61">
      <c r="A61" s="2" t="inlineStr">
        <is>
          <t>5a7PmxFqt1AxHpxfudFsVw6qsr5gJHUuP95srZgctRCY</t>
        </is>
      </c>
      <c r="B61" s="2" t="inlineStr">
        <is>
          <t>shadedtuna09013</t>
        </is>
      </c>
      <c r="C61" s="2">
        <f>COUNT(E61:G61)</f>
        <v/>
      </c>
      <c r="D61" s="2" t="inlineStr">
        <is>
          <t>SolanaTracker</t>
        </is>
      </c>
      <c r="E61" s="2" t="n"/>
      <c r="F61" s="2" t="n">
        <v>60</v>
      </c>
      <c r="G61" s="2" t="n"/>
      <c r="H61" s="8" t="n"/>
      <c r="I61" s="8" t="n">
        <v>322.59</v>
      </c>
      <c r="J61" s="8" t="n"/>
      <c r="K61" s="8">
        <f>IF(COUNT(H61:J61)&gt;=2,MAX(H61:J61)-MIN(H61:J61),"")</f>
        <v/>
      </c>
      <c r="L61" s="9">
        <f>IF(ISNUMBER(K61),IF(MAX(ABS(MAX(H61:J61)),ABS(MIN(H61:J61)))=0,"",K61/MAX(ABS(MAX(H61:J61)),ABS(MIN(H61:J61)))),"")</f>
        <v/>
      </c>
      <c r="M61" s="2">
        <f>IF(AND(ISNUMBER(K61),ISNUMBER(L61)),IF(AND(K61&gt;=Ringkasan!$B$10,L61&gt;=Ringkasan!$B$11),"yes",""),"")</f>
        <v/>
      </c>
      <c r="N61" s="2" t="n"/>
      <c r="O61" s="2" t="n"/>
      <c r="Q61" s="2" t="inlineStr">
        <is>
          <t>pumpfun-app</t>
        </is>
      </c>
      <c r="S61" s="2" t="n"/>
      <c r="U61" s="2" t="n">
        <v>61</v>
      </c>
    </row>
    <row r="62">
      <c r="A62" s="2" t="inlineStr">
        <is>
          <t>3K8UquozjMCuCi6KjrYZRjKtsBPoCGDsg6RRbaS1yU2d</t>
        </is>
      </c>
      <c r="B62" s="2" t="inlineStr">
        <is>
          <t>grimreaperrr</t>
        </is>
      </c>
      <c r="C62" s="2">
        <f>COUNT(E62:G62)</f>
        <v/>
      </c>
      <c r="D62" s="2" t="inlineStr">
        <is>
          <t>SolanaTracker</t>
        </is>
      </c>
      <c r="E62" s="2" t="n"/>
      <c r="F62" s="2" t="n">
        <v>61</v>
      </c>
      <c r="G62" s="2" t="n"/>
      <c r="H62" s="8" t="n"/>
      <c r="I62" s="8" t="n">
        <v>321.44</v>
      </c>
      <c r="J62" s="8" t="n"/>
      <c r="K62" s="8">
        <f>IF(COUNT(H62:J62)&gt;=2,MAX(H62:J62)-MIN(H62:J62),"")</f>
        <v/>
      </c>
      <c r="L62" s="9">
        <f>IF(ISNUMBER(K62),IF(MAX(ABS(MAX(H62:J62)),ABS(MIN(H62:J62)))=0,"",K62/MAX(ABS(MAX(H62:J62)),ABS(MIN(H62:J62)))),"")</f>
        <v/>
      </c>
      <c r="M62" s="2">
        <f>IF(AND(ISNUMBER(K62),ISNUMBER(L62)),IF(AND(K62&gt;=Ringkasan!$B$10,L62&gt;=Ringkasan!$B$11),"yes",""),"")</f>
        <v/>
      </c>
      <c r="N62" s="2" t="n"/>
      <c r="O62" s="2" t="n"/>
      <c r="Q62" s="2" t="inlineStr">
        <is>
          <t>terminal; pumpfun-app</t>
        </is>
      </c>
      <c r="S62" s="2" t="n"/>
      <c r="U62" s="2" t="n">
        <v>62</v>
      </c>
    </row>
    <row r="63">
      <c r="A63" s="2" t="inlineStr">
        <is>
          <t>EE1YVFkvhjnsRWjewBQ6MjtgQgnvXW4ESG2xDbvSEGP6</t>
        </is>
      </c>
      <c r="B63" s="2" t="n"/>
      <c r="C63" s="2">
        <f>COUNT(E63:G63)</f>
        <v/>
      </c>
      <c r="D63" s="2" t="inlineStr">
        <is>
          <t>SolanaTracker</t>
        </is>
      </c>
      <c r="E63" s="2" t="n"/>
      <c r="F63" s="2" t="n">
        <v>62</v>
      </c>
      <c r="G63" s="2" t="n"/>
      <c r="H63" s="8" t="n"/>
      <c r="I63" s="8" t="n">
        <v>317.49</v>
      </c>
      <c r="J63" s="8" t="n"/>
      <c r="K63" s="8">
        <f>IF(COUNT(H63:J63)&gt;=2,MAX(H63:J63)-MIN(H63:J63),"")</f>
        <v/>
      </c>
      <c r="L63" s="9">
        <f>IF(ISNUMBER(K63),IF(MAX(ABS(MAX(H63:J63)),ABS(MIN(H63:J63)))=0,"",K63/MAX(ABS(MAX(H63:J63)),ABS(MIN(H63:J63)))),"")</f>
        <v/>
      </c>
      <c r="M63" s="2">
        <f>IF(AND(ISNUMBER(K63),ISNUMBER(L63)),IF(AND(K63&gt;=Ringkasan!$B$10,L63&gt;=Ringkasan!$B$11),"yes",""),"")</f>
        <v/>
      </c>
      <c r="N63" s="2" t="n"/>
      <c r="O63" s="2" t="n"/>
      <c r="Q63" s="2" t="n"/>
      <c r="S63" s="2" t="n"/>
      <c r="U63" s="2" t="n">
        <v>63</v>
      </c>
    </row>
    <row r="64">
      <c r="A64" s="2" t="inlineStr">
        <is>
          <t>Gt42WLM4psqNRcWhqgELgd9YtCXtFFqTcEjHNC7HnCZ5</t>
        </is>
      </c>
      <c r="B64" s="2" t="n"/>
      <c r="C64" s="2">
        <f>COUNT(E64:G64)</f>
        <v/>
      </c>
      <c r="D64" s="2" t="inlineStr">
        <is>
          <t>SolanaTracker</t>
        </is>
      </c>
      <c r="E64" s="2" t="n"/>
      <c r="F64" s="2" t="n">
        <v>63</v>
      </c>
      <c r="G64" s="2" t="n"/>
      <c r="H64" s="8" t="n"/>
      <c r="I64" s="8" t="n">
        <v>308.83</v>
      </c>
      <c r="J64" s="8" t="n"/>
      <c r="K64" s="8">
        <f>IF(COUNT(H64:J64)&gt;=2,MAX(H64:J64)-MIN(H64:J64),"")</f>
        <v/>
      </c>
      <c r="L64" s="9">
        <f>IF(ISNUMBER(K64),IF(MAX(ABS(MAX(H64:J64)),ABS(MIN(H64:J64)))=0,"",K64/MAX(ABS(MAX(H64:J64)),ABS(MIN(H64:J64)))),"")</f>
        <v/>
      </c>
      <c r="M64" s="2">
        <f>IF(AND(ISNUMBER(K64),ISNUMBER(L64)),IF(AND(K64&gt;=Ringkasan!$B$10,L64&gt;=Ringkasan!$B$11),"yes",""),"")</f>
        <v/>
      </c>
      <c r="N64" s="2" t="n"/>
      <c r="O64" s="2" t="n"/>
      <c r="Q64" s="2" t="n"/>
      <c r="S64" s="2" t="n"/>
      <c r="U64" s="2" t="n">
        <v>64</v>
      </c>
    </row>
    <row r="65">
      <c r="A65" s="2" t="inlineStr">
        <is>
          <t>8vextCRVuaHWZUaFdDFbJNCm8NtDBGGQgsGPPreNL1Gr</t>
        </is>
      </c>
      <c r="B65" s="2" t="n"/>
      <c r="C65" s="2">
        <f>COUNT(E65:G65)</f>
        <v/>
      </c>
      <c r="D65" s="2" t="inlineStr">
        <is>
          <t>SolanaTracker</t>
        </is>
      </c>
      <c r="E65" s="2" t="n"/>
      <c r="F65" s="2" t="n">
        <v>64</v>
      </c>
      <c r="G65" s="2" t="n"/>
      <c r="H65" s="8" t="n"/>
      <c r="I65" s="8" t="n">
        <v>306.29</v>
      </c>
      <c r="J65" s="8" t="n"/>
      <c r="K65" s="8">
        <f>IF(COUNT(H65:J65)&gt;=2,MAX(H65:J65)-MIN(H65:J65),"")</f>
        <v/>
      </c>
      <c r="L65" s="9">
        <f>IF(ISNUMBER(K65),IF(MAX(ABS(MAX(H65:J65)),ABS(MIN(H65:J65)))=0,"",K65/MAX(ABS(MAX(H65:J65)),ABS(MIN(H65:J65)))),"")</f>
        <v/>
      </c>
      <c r="M65" s="2">
        <f>IF(AND(ISNUMBER(K65),ISNUMBER(L65)),IF(AND(K65&gt;=Ringkasan!$B$10,L65&gt;=Ringkasan!$B$11),"yes",""),"")</f>
        <v/>
      </c>
      <c r="N65" s="2" t="n"/>
      <c r="O65" s="2" t="n"/>
      <c r="Q65" s="2" t="n"/>
      <c r="S65" s="2" t="n"/>
      <c r="U65" s="2" t="n">
        <v>65</v>
      </c>
    </row>
    <row r="66">
      <c r="A66" s="2" t="inlineStr">
        <is>
          <t>GfE5eL3MWqeZEMzAzNWcFES2fd8Np1Ai7Do2woewccPG</t>
        </is>
      </c>
      <c r="B66" s="2" t="n"/>
      <c r="C66" s="2">
        <f>COUNT(E66:G66)</f>
        <v/>
      </c>
      <c r="D66" s="2" t="inlineStr">
        <is>
          <t>SolanaTracker</t>
        </is>
      </c>
      <c r="E66" s="2" t="n"/>
      <c r="F66" s="2" t="n">
        <v>65</v>
      </c>
      <c r="G66" s="2" t="n"/>
      <c r="H66" s="8" t="n"/>
      <c r="I66" s="8" t="n">
        <v>303.31</v>
      </c>
      <c r="J66" s="8" t="n"/>
      <c r="K66" s="8">
        <f>IF(COUNT(H66:J66)&gt;=2,MAX(H66:J66)-MIN(H66:J66),"")</f>
        <v/>
      </c>
      <c r="L66" s="9">
        <f>IF(ISNUMBER(K66),IF(MAX(ABS(MAX(H66:J66)),ABS(MIN(H66:J66)))=0,"",K66/MAX(ABS(MAX(H66:J66)),ABS(MIN(H66:J66)))),"")</f>
        <v/>
      </c>
      <c r="M66" s="2">
        <f>IF(AND(ISNUMBER(K66),ISNUMBER(L66)),IF(AND(K66&gt;=Ringkasan!$B$10,L66&gt;=Ringkasan!$B$11),"yes",""),"")</f>
        <v/>
      </c>
      <c r="N66" s="2" t="n"/>
      <c r="O66" s="2" t="n"/>
      <c r="Q66" s="2" t="n"/>
      <c r="S66" s="2" t="n"/>
      <c r="U66" s="2" t="n">
        <v>66</v>
      </c>
    </row>
    <row r="67">
      <c r="A67" s="2" t="inlineStr">
        <is>
          <t>Eu6Vj9Ed5548aZPYG8UNMn7zzkKwcynry1wghhQXjRVY</t>
        </is>
      </c>
      <c r="B67" s="2" t="n"/>
      <c r="C67" s="2">
        <f>COUNT(E67:G67)</f>
        <v/>
      </c>
      <c r="D67" s="2" t="inlineStr">
        <is>
          <t>SolanaTracker</t>
        </is>
      </c>
      <c r="E67" s="2" t="n"/>
      <c r="F67" s="2" t="n">
        <v>66</v>
      </c>
      <c r="G67" s="2" t="n"/>
      <c r="H67" s="8" t="n"/>
      <c r="I67" s="8" t="n">
        <v>287.83</v>
      </c>
      <c r="J67" s="8" t="n"/>
      <c r="K67" s="8">
        <f>IF(COUNT(H67:J67)&gt;=2,MAX(H67:J67)-MIN(H67:J67),"")</f>
        <v/>
      </c>
      <c r="L67" s="9">
        <f>IF(ISNUMBER(K67),IF(MAX(ABS(MAX(H67:J67)),ABS(MIN(H67:J67)))=0,"",K67/MAX(ABS(MAX(H67:J67)),ABS(MIN(H67:J67)))),"")</f>
        <v/>
      </c>
      <c r="M67" s="2">
        <f>IF(AND(ISNUMBER(K67),ISNUMBER(L67)),IF(AND(K67&gt;=Ringkasan!$B$10,L67&gt;=Ringkasan!$B$11),"yes",""),"")</f>
        <v/>
      </c>
      <c r="N67" s="2" t="n"/>
      <c r="O67" s="2" t="n"/>
      <c r="Q67" s="2" t="inlineStr">
        <is>
          <t>terminal; axiom</t>
        </is>
      </c>
      <c r="S67" s="2" t="n"/>
      <c r="U67" s="2" t="n">
        <v>67</v>
      </c>
    </row>
    <row r="68">
      <c r="A68" s="2" t="inlineStr">
        <is>
          <t>67MvX4bYXP5W2NwnXQuhsixBAyHk14WQJz3qT9EKfLkw</t>
        </is>
      </c>
      <c r="B68" s="2" t="n"/>
      <c r="C68" s="2">
        <f>COUNT(E68:G68)</f>
        <v/>
      </c>
      <c r="D68" s="2" t="inlineStr">
        <is>
          <t>SolanaTracker</t>
        </is>
      </c>
      <c r="E68" s="2" t="n"/>
      <c r="F68" s="2" t="n">
        <v>67</v>
      </c>
      <c r="G68" s="2" t="n"/>
      <c r="H68" s="8" t="n"/>
      <c r="I68" s="8" t="n">
        <v>285.69</v>
      </c>
      <c r="J68" s="8" t="n"/>
      <c r="K68" s="8">
        <f>IF(COUNT(H68:J68)&gt;=2,MAX(H68:J68)-MIN(H68:J68),"")</f>
        <v/>
      </c>
      <c r="L68" s="9">
        <f>IF(ISNUMBER(K68),IF(MAX(ABS(MAX(H68:J68)),ABS(MIN(H68:J68)))=0,"",K68/MAX(ABS(MAX(H68:J68)),ABS(MIN(H68:J68)))),"")</f>
        <v/>
      </c>
      <c r="M68" s="2">
        <f>IF(AND(ISNUMBER(K68),ISNUMBER(L68)),IF(AND(K68&gt;=Ringkasan!$B$10,L68&gt;=Ringkasan!$B$11),"yes",""),"")</f>
        <v/>
      </c>
      <c r="N68" s="2" t="n"/>
      <c r="O68" s="2" t="n"/>
      <c r="Q68" s="2" t="n"/>
      <c r="S68" s="2" t="n"/>
      <c r="U68" s="2" t="n">
        <v>68</v>
      </c>
    </row>
    <row r="69">
      <c r="A69" s="2" t="inlineStr">
        <is>
          <t>5Myh26jJR4VrqASpAnzqHWtv19m9MoifasimHUyRgtwF</t>
        </is>
      </c>
      <c r="B69" s="2" t="n"/>
      <c r="C69" s="2">
        <f>COUNT(E69:G69)</f>
        <v/>
      </c>
      <c r="D69" s="2" t="inlineStr">
        <is>
          <t>SolanaTracker</t>
        </is>
      </c>
      <c r="E69" s="2" t="n"/>
      <c r="F69" s="2" t="n">
        <v>68</v>
      </c>
      <c r="G69" s="2" t="n"/>
      <c r="H69" s="8" t="n"/>
      <c r="I69" s="8" t="n">
        <v>284.21</v>
      </c>
      <c r="J69" s="8" t="n"/>
      <c r="K69" s="8">
        <f>IF(COUNT(H69:J69)&gt;=2,MAX(H69:J69)-MIN(H69:J69),"")</f>
        <v/>
      </c>
      <c r="L69" s="9">
        <f>IF(ISNUMBER(K69),IF(MAX(ABS(MAX(H69:J69)),ABS(MIN(H69:J69)))=0,"",K69/MAX(ABS(MAX(H69:J69)),ABS(MIN(H69:J69)))),"")</f>
        <v/>
      </c>
      <c r="M69" s="2">
        <f>IF(AND(ISNUMBER(K69),ISNUMBER(L69)),IF(AND(K69&gt;=Ringkasan!$B$10,L69&gt;=Ringkasan!$B$11),"yes",""),"")</f>
        <v/>
      </c>
      <c r="N69" s="2" t="n"/>
      <c r="O69" s="2" t="n"/>
      <c r="Q69" s="2" t="n"/>
      <c r="S69" s="2" t="n"/>
      <c r="U69" s="2" t="n">
        <v>69</v>
      </c>
    </row>
    <row r="70">
      <c r="A70" s="2" t="inlineStr">
        <is>
          <t>28ZJ1y324bStjbN7dXZuxupEY5nL6FUvXfPCZtTmqQqs</t>
        </is>
      </c>
      <c r="B70" s="2" t="n"/>
      <c r="C70" s="2">
        <f>COUNT(E70:G70)</f>
        <v/>
      </c>
      <c r="D70" s="2" t="inlineStr">
        <is>
          <t>SolanaTracker</t>
        </is>
      </c>
      <c r="E70" s="2" t="n"/>
      <c r="F70" s="2" t="n">
        <v>69</v>
      </c>
      <c r="G70" s="2" t="n"/>
      <c r="H70" s="8" t="n"/>
      <c r="I70" s="8" t="n">
        <v>269.4</v>
      </c>
      <c r="J70" s="8" t="n"/>
      <c r="K70" s="8">
        <f>IF(COUNT(H70:J70)&gt;=2,MAX(H70:J70)-MIN(H70:J70),"")</f>
        <v/>
      </c>
      <c r="L70" s="9">
        <f>IF(ISNUMBER(K70),IF(MAX(ABS(MAX(H70:J70)),ABS(MIN(H70:J70)))=0,"",K70/MAX(ABS(MAX(H70:J70)),ABS(MIN(H70:J70)))),"")</f>
        <v/>
      </c>
      <c r="M70" s="2">
        <f>IF(AND(ISNUMBER(K70),ISNUMBER(L70)),IF(AND(K70&gt;=Ringkasan!$B$10,L70&gt;=Ringkasan!$B$11),"yes",""),"")</f>
        <v/>
      </c>
      <c r="N70" s="2" t="n"/>
      <c r="O70" s="2" t="n"/>
      <c r="Q70" s="2" t="inlineStr">
        <is>
          <t>gmgn</t>
        </is>
      </c>
      <c r="S70" s="2" t="n"/>
      <c r="U70" s="2" t="n">
        <v>70</v>
      </c>
    </row>
    <row r="71">
      <c r="A71" s="2" t="inlineStr">
        <is>
          <t>Fgej4SPuW282TdrQRfizRHAeRasNqCtAWZizL3jDqMdS</t>
        </is>
      </c>
      <c r="B71" s="2" t="inlineStr">
        <is>
          <t>solanarent.sol</t>
        </is>
      </c>
      <c r="C71" s="2">
        <f>COUNT(E71:G71)</f>
        <v/>
      </c>
      <c r="D71" s="2" t="inlineStr">
        <is>
          <t>SolanaTracker</t>
        </is>
      </c>
      <c r="E71" s="2" t="n"/>
      <c r="F71" s="2" t="n">
        <v>70</v>
      </c>
      <c r="G71" s="2" t="n"/>
      <c r="H71" s="8" t="n"/>
      <c r="I71" s="8" t="n">
        <v>264.28</v>
      </c>
      <c r="J71" s="8" t="n"/>
      <c r="K71" s="8">
        <f>IF(COUNT(H71:J71)&gt;=2,MAX(H71:J71)-MIN(H71:J71),"")</f>
        <v/>
      </c>
      <c r="L71" s="9">
        <f>IF(ISNUMBER(K71),IF(MAX(ABS(MAX(H71:J71)),ABS(MIN(H71:J71)))=0,"",K71/MAX(ABS(MAX(H71:J71)),ABS(MIN(H71:J71)))),"")</f>
        <v/>
      </c>
      <c r="M71" s="2">
        <f>IF(AND(ISNUMBER(K71),ISNUMBER(L71)),IF(AND(K71&gt;=Ringkasan!$B$10,L71&gt;=Ringkasan!$B$11),"yes",""),"")</f>
        <v/>
      </c>
      <c r="N71" s="2" t="n"/>
      <c r="O71" s="2" t="n"/>
      <c r="Q71" s="2" t="inlineStr">
        <is>
          <t>potential_bot; sns</t>
        </is>
      </c>
      <c r="S71" s="2" t="n"/>
      <c r="U71" s="2" t="n">
        <v>71</v>
      </c>
    </row>
    <row r="72">
      <c r="A72" s="2" t="inlineStr">
        <is>
          <t>HK6W9GaTNDdgPhLW1fZavPzVTv6Y5ADCtppVtDNQ19aq</t>
        </is>
      </c>
      <c r="B72" s="2" t="n"/>
      <c r="C72" s="2">
        <f>COUNT(E72:G72)</f>
        <v/>
      </c>
      <c r="D72" s="2" t="inlineStr">
        <is>
          <t>SolanaTracker</t>
        </is>
      </c>
      <c r="E72" s="2" t="n"/>
      <c r="F72" s="2" t="n">
        <v>71</v>
      </c>
      <c r="G72" s="2" t="n"/>
      <c r="H72" s="8" t="n"/>
      <c r="I72" s="8" t="n">
        <v>260.03</v>
      </c>
      <c r="J72" s="8" t="n"/>
      <c r="K72" s="8">
        <f>IF(COUNT(H72:J72)&gt;=2,MAX(H72:J72)-MIN(H72:J72),"")</f>
        <v/>
      </c>
      <c r="L72" s="9">
        <f>IF(ISNUMBER(K72),IF(MAX(ABS(MAX(H72:J72)),ABS(MIN(H72:J72)))=0,"",K72/MAX(ABS(MAX(H72:J72)),ABS(MIN(H72:J72)))),"")</f>
        <v/>
      </c>
      <c r="M72" s="2">
        <f>IF(AND(ISNUMBER(K72),ISNUMBER(L72)),IF(AND(K72&gt;=Ringkasan!$B$10,L72&gt;=Ringkasan!$B$11),"yes",""),"")</f>
        <v/>
      </c>
      <c r="N72" s="2" t="n"/>
      <c r="O72" s="2" t="n"/>
      <c r="Q72" s="2" t="n"/>
      <c r="S72" s="2" t="n"/>
      <c r="U72" s="2" t="n">
        <v>72</v>
      </c>
    </row>
    <row r="73">
      <c r="A73" s="2" t="inlineStr">
        <is>
          <t>5NXA6g3B3pzBoTFY977FwDS5QqBmLHEuRAyifcsp2P8d</t>
        </is>
      </c>
      <c r="B73" s="2" t="n"/>
      <c r="C73" s="2">
        <f>COUNT(E73:G73)</f>
        <v/>
      </c>
      <c r="D73" s="2" t="inlineStr">
        <is>
          <t>SolanaTracker</t>
        </is>
      </c>
      <c r="E73" s="2" t="n"/>
      <c r="F73" s="2" t="n">
        <v>72</v>
      </c>
      <c r="G73" s="2" t="n"/>
      <c r="H73" s="8" t="n"/>
      <c r="I73" s="8" t="n">
        <v>241.85</v>
      </c>
      <c r="J73" s="8" t="n"/>
      <c r="K73" s="8">
        <f>IF(COUNT(H73:J73)&gt;=2,MAX(H73:J73)-MIN(H73:J73),"")</f>
        <v/>
      </c>
      <c r="L73" s="9">
        <f>IF(ISNUMBER(K73),IF(MAX(ABS(MAX(H73:J73)),ABS(MIN(H73:J73)))=0,"",K73/MAX(ABS(MAX(H73:J73)),ABS(MIN(H73:J73)))),"")</f>
        <v/>
      </c>
      <c r="M73" s="2">
        <f>IF(AND(ISNUMBER(K73),ISNUMBER(L73)),IF(AND(K73&gt;=Ringkasan!$B$10,L73&gt;=Ringkasan!$B$11),"yes",""),"")</f>
        <v/>
      </c>
      <c r="N73" s="2" t="n"/>
      <c r="O73" s="2" t="n"/>
      <c r="Q73" s="2" t="n"/>
      <c r="S73" s="2" t="n"/>
      <c r="U73" s="2" t="n">
        <v>73</v>
      </c>
    </row>
    <row r="74">
      <c r="A74" s="2" t="inlineStr">
        <is>
          <t>71gxahAQQGw5ks6dnZDRUtuJtXDwhYSVE6F1n2T4JwtX</t>
        </is>
      </c>
      <c r="B74" s="2" t="n"/>
      <c r="C74" s="2">
        <f>COUNT(E74:G74)</f>
        <v/>
      </c>
      <c r="D74" s="2" t="inlineStr">
        <is>
          <t>SolanaTracker</t>
        </is>
      </c>
      <c r="E74" s="2" t="n"/>
      <c r="F74" s="2" t="n">
        <v>73</v>
      </c>
      <c r="G74" s="2" t="n"/>
      <c r="H74" s="8" t="n"/>
      <c r="I74" s="8" t="n">
        <v>241.6</v>
      </c>
      <c r="J74" s="8" t="n"/>
      <c r="K74" s="8">
        <f>IF(COUNT(H74:J74)&gt;=2,MAX(H74:J74)-MIN(H74:J74),"")</f>
        <v/>
      </c>
      <c r="L74" s="9">
        <f>IF(ISNUMBER(K74),IF(MAX(ABS(MAX(H74:J74)),ABS(MIN(H74:J74)))=0,"",K74/MAX(ABS(MAX(H74:J74)),ABS(MIN(H74:J74)))),"")</f>
        <v/>
      </c>
      <c r="M74" s="2">
        <f>IF(AND(ISNUMBER(K74),ISNUMBER(L74)),IF(AND(K74&gt;=Ringkasan!$B$10,L74&gt;=Ringkasan!$B$11),"yes",""),"")</f>
        <v/>
      </c>
      <c r="N74" s="2" t="n"/>
      <c r="O74" s="2" t="n"/>
      <c r="Q74" s="2" t="n"/>
      <c r="S74" s="2" t="n"/>
      <c r="U74" s="2" t="n">
        <v>74</v>
      </c>
    </row>
    <row r="75">
      <c r="A75" s="2" t="inlineStr">
        <is>
          <t>5n4i9SyF9SBRWtktfCoXb8SWcVerQf1HLgk3sB1suZoA</t>
        </is>
      </c>
      <c r="B75" s="2" t="n"/>
      <c r="C75" s="2">
        <f>COUNT(E75:G75)</f>
        <v/>
      </c>
      <c r="D75" s="2" t="inlineStr">
        <is>
          <t>SolanaTracker</t>
        </is>
      </c>
      <c r="E75" s="2" t="n"/>
      <c r="F75" s="2" t="n">
        <v>74</v>
      </c>
      <c r="G75" s="2" t="n"/>
      <c r="H75" s="8" t="n"/>
      <c r="I75" s="8" t="n">
        <v>234.78</v>
      </c>
      <c r="J75" s="8" t="n"/>
      <c r="K75" s="8">
        <f>IF(COUNT(H75:J75)&gt;=2,MAX(H75:J75)-MIN(H75:J75),"")</f>
        <v/>
      </c>
      <c r="L75" s="9">
        <f>IF(ISNUMBER(K75),IF(MAX(ABS(MAX(H75:J75)),ABS(MIN(H75:J75)))=0,"",K75/MAX(ABS(MAX(H75:J75)),ABS(MIN(H75:J75)))),"")</f>
        <v/>
      </c>
      <c r="M75" s="2">
        <f>IF(AND(ISNUMBER(K75),ISNUMBER(L75)),IF(AND(K75&gt;=Ringkasan!$B$10,L75&gt;=Ringkasan!$B$11),"yes",""),"")</f>
        <v/>
      </c>
      <c r="N75" s="2" t="n"/>
      <c r="O75" s="2" t="n"/>
      <c r="Q75" s="2" t="inlineStr">
        <is>
          <t>gmgn</t>
        </is>
      </c>
      <c r="S75" s="2" t="n"/>
      <c r="U75" s="2" t="n">
        <v>75</v>
      </c>
    </row>
    <row r="76">
      <c r="A76" s="2" t="inlineStr">
        <is>
          <t>7XAJZMmprJqMBLkG1u2iBaSSpxyzfG1DYy7uSKArPfks</t>
        </is>
      </c>
      <c r="B76" s="2" t="n"/>
      <c r="C76" s="2">
        <f>COUNT(E76:G76)</f>
        <v/>
      </c>
      <c r="D76" s="2" t="inlineStr">
        <is>
          <t>SolanaTracker</t>
        </is>
      </c>
      <c r="E76" s="2" t="n"/>
      <c r="F76" s="2" t="n">
        <v>75</v>
      </c>
      <c r="G76" s="2" t="n"/>
      <c r="H76" s="8" t="n"/>
      <c r="I76" s="8" t="n">
        <v>231.87</v>
      </c>
      <c r="J76" s="8" t="n"/>
      <c r="K76" s="8">
        <f>IF(COUNT(H76:J76)&gt;=2,MAX(H76:J76)-MIN(H76:J76),"")</f>
        <v/>
      </c>
      <c r="L76" s="9">
        <f>IF(ISNUMBER(K76),IF(MAX(ABS(MAX(H76:J76)),ABS(MIN(H76:J76)))=0,"",K76/MAX(ABS(MAX(H76:J76)),ABS(MIN(H76:J76)))),"")</f>
        <v/>
      </c>
      <c r="M76" s="2">
        <f>IF(AND(ISNUMBER(K76),ISNUMBER(L76)),IF(AND(K76&gt;=Ringkasan!$B$10,L76&gt;=Ringkasan!$B$11),"yes",""),"")</f>
        <v/>
      </c>
      <c r="N76" s="2" t="n"/>
      <c r="O76" s="2" t="n"/>
      <c r="Q76" s="2" t="inlineStr">
        <is>
          <t>axiom</t>
        </is>
      </c>
      <c r="S76" s="2" t="n"/>
      <c r="U76" s="2" t="n">
        <v>76</v>
      </c>
    </row>
    <row r="77">
      <c r="A77" s="2" t="inlineStr">
        <is>
          <t>D3fX4UR2RuBMBazijJpy4yUyb5YZxD8MU88wcuJxPSZD</t>
        </is>
      </c>
      <c r="B77" s="2" t="inlineStr">
        <is>
          <t>pupusama</t>
        </is>
      </c>
      <c r="C77" s="2">
        <f>COUNT(E77:G77)</f>
        <v/>
      </c>
      <c r="D77" s="2" t="inlineStr">
        <is>
          <t>SolanaTracker</t>
        </is>
      </c>
      <c r="E77" s="2" t="n"/>
      <c r="F77" s="2" t="n">
        <v>76</v>
      </c>
      <c r="G77" s="2" t="n"/>
      <c r="H77" s="8" t="n"/>
      <c r="I77" s="8" t="n">
        <v>228.94</v>
      </c>
      <c r="J77" s="8" t="n"/>
      <c r="K77" s="8">
        <f>IF(COUNT(H77:J77)&gt;=2,MAX(H77:J77)-MIN(H77:J77),"")</f>
        <v/>
      </c>
      <c r="L77" s="9">
        <f>IF(ISNUMBER(K77),IF(MAX(ABS(MAX(H77:J77)),ABS(MIN(H77:J77)))=0,"",K77/MAX(ABS(MAX(H77:J77)),ABS(MIN(H77:J77)))),"")</f>
        <v/>
      </c>
      <c r="M77" s="2">
        <f>IF(AND(ISNUMBER(K77),ISNUMBER(L77)),IF(AND(K77&gt;=Ringkasan!$B$10,L77&gt;=Ringkasan!$B$11),"yes",""),"")</f>
        <v/>
      </c>
      <c r="N77" s="2" t="n"/>
      <c r="O77" s="2" t="n"/>
      <c r="Q77" s="2" t="inlineStr">
        <is>
          <t>fomo</t>
        </is>
      </c>
      <c r="S77" s="2" t="n"/>
      <c r="U77" s="2" t="n">
        <v>77</v>
      </c>
    </row>
    <row r="78">
      <c r="A78" s="2" t="inlineStr">
        <is>
          <t>3PwXa9BRA2sUdjtcGxs4bVLBau2dHTuZwtb6CbpTpdvA</t>
        </is>
      </c>
      <c r="B78" s="2" t="inlineStr">
        <is>
          <t>MarlonTrades</t>
        </is>
      </c>
      <c r="C78" s="2">
        <f>COUNT(E78:G78)</f>
        <v/>
      </c>
      <c r="D78" s="2" t="inlineStr">
        <is>
          <t>SolanaTracker</t>
        </is>
      </c>
      <c r="E78" s="2" t="n"/>
      <c r="F78" s="2" t="n">
        <v>77</v>
      </c>
      <c r="G78" s="2" t="n"/>
      <c r="H78" s="8" t="n"/>
      <c r="I78" s="8" t="n">
        <v>225.32</v>
      </c>
      <c r="J78" s="8" t="n"/>
      <c r="K78" s="8">
        <f>IF(COUNT(H78:J78)&gt;=2,MAX(H78:J78)-MIN(H78:J78),"")</f>
        <v/>
      </c>
      <c r="L78" s="9">
        <f>IF(ISNUMBER(K78),IF(MAX(ABS(MAX(H78:J78)),ABS(MIN(H78:J78)))=0,"",K78/MAX(ABS(MAX(H78:J78)),ABS(MIN(H78:J78)))),"")</f>
        <v/>
      </c>
      <c r="M78" s="2">
        <f>IF(AND(ISNUMBER(K78),ISNUMBER(L78)),IF(AND(K78&gt;=Ringkasan!$B$10,L78&gt;=Ringkasan!$B$11),"yes",""),"")</f>
        <v/>
      </c>
      <c r="N78" s="2" t="n"/>
      <c r="O78" s="2" t="n"/>
      <c r="Q78" s="2" t="inlineStr">
        <is>
          <t>terminal; axiom; pumpfun-app</t>
        </is>
      </c>
      <c r="S78" s="2" t="n"/>
      <c r="U78" s="2" t="n">
        <v>78</v>
      </c>
    </row>
    <row r="79">
      <c r="A79" s="2" t="inlineStr">
        <is>
          <t>5niPEBJY9s8n783NNHvihp89hGApt4RU5EsdTnWNm4cF</t>
        </is>
      </c>
      <c r="B79" s="2" t="n"/>
      <c r="C79" s="2">
        <f>COUNT(E79:G79)</f>
        <v/>
      </c>
      <c r="D79" s="2" t="inlineStr">
        <is>
          <t>SolanaTracker</t>
        </is>
      </c>
      <c r="E79" s="2" t="n"/>
      <c r="F79" s="2" t="n">
        <v>78</v>
      </c>
      <c r="G79" s="2" t="n"/>
      <c r="H79" s="8" t="n"/>
      <c r="I79" s="8" t="n">
        <v>223.75</v>
      </c>
      <c r="J79" s="8" t="n"/>
      <c r="K79" s="8">
        <f>IF(COUNT(H79:J79)&gt;=2,MAX(H79:J79)-MIN(H79:J79),"")</f>
        <v/>
      </c>
      <c r="L79" s="9">
        <f>IF(ISNUMBER(K79),IF(MAX(ABS(MAX(H79:J79)),ABS(MIN(H79:J79)))=0,"",K79/MAX(ABS(MAX(H79:J79)),ABS(MIN(H79:J79)))),"")</f>
        <v/>
      </c>
      <c r="M79" s="2">
        <f>IF(AND(ISNUMBER(K79),ISNUMBER(L79)),IF(AND(K79&gt;=Ringkasan!$B$10,L79&gt;=Ringkasan!$B$11),"yes",""),"")</f>
        <v/>
      </c>
      <c r="N79" s="2" t="n"/>
      <c r="O79" s="2" t="n"/>
      <c r="Q79" s="2" t="inlineStr">
        <is>
          <t>terminal; axiom</t>
        </is>
      </c>
      <c r="S79" s="2" t="n"/>
      <c r="U79" s="2" t="n">
        <v>79</v>
      </c>
    </row>
    <row r="80">
      <c r="A80" s="2" t="inlineStr">
        <is>
          <t>8gjm18Dmp7Bj5D2e966miisYHG9S75P1aHd6YsBdiK2M</t>
        </is>
      </c>
      <c r="B80" s="2" t="inlineStr">
        <is>
          <t>Idome</t>
        </is>
      </c>
      <c r="C80" s="2">
        <f>COUNT(E80:G80)</f>
        <v/>
      </c>
      <c r="D80" s="2" t="inlineStr">
        <is>
          <t>SolanaTracker</t>
        </is>
      </c>
      <c r="E80" s="2" t="n"/>
      <c r="F80" s="2" t="n">
        <v>79</v>
      </c>
      <c r="G80" s="2" t="n"/>
      <c r="H80" s="8" t="n"/>
      <c r="I80" s="8" t="n">
        <v>222.74</v>
      </c>
      <c r="J80" s="8" t="n"/>
      <c r="K80" s="8">
        <f>IF(COUNT(H80:J80)&gt;=2,MAX(H80:J80)-MIN(H80:J80),"")</f>
        <v/>
      </c>
      <c r="L80" s="9">
        <f>IF(ISNUMBER(K80),IF(MAX(ABS(MAX(H80:J80)),ABS(MIN(H80:J80)))=0,"",K80/MAX(ABS(MAX(H80:J80)),ABS(MIN(H80:J80)))),"")</f>
        <v/>
      </c>
      <c r="M80" s="2">
        <f>IF(AND(ISNUMBER(K80),ISNUMBER(L80)),IF(AND(K80&gt;=Ringkasan!$B$10,L80&gt;=Ringkasan!$B$11),"yes",""),"")</f>
        <v/>
      </c>
      <c r="N80" s="2" t="n"/>
      <c r="O80" s="2" t="n"/>
      <c r="Q80" s="2" t="inlineStr">
        <is>
          <t>pumpfun-app</t>
        </is>
      </c>
      <c r="S80" s="2" t="n"/>
      <c r="U80" s="2" t="n">
        <v>80</v>
      </c>
    </row>
    <row r="81">
      <c r="A81" s="2" t="inlineStr">
        <is>
          <t>897GsVaFTWsSqHsT8Uiwsfc7XXqDBCEGcofmq7nRmEPA</t>
        </is>
      </c>
      <c r="B81" s="2" t="inlineStr">
        <is>
          <t>Ayze_</t>
        </is>
      </c>
      <c r="C81" s="2">
        <f>COUNT(E81:G81)</f>
        <v/>
      </c>
      <c r="D81" s="2" t="inlineStr">
        <is>
          <t>SolanaTracker</t>
        </is>
      </c>
      <c r="E81" s="2" t="n"/>
      <c r="F81" s="2" t="n">
        <v>80</v>
      </c>
      <c r="G81" s="2" t="n"/>
      <c r="H81" s="8" t="n"/>
      <c r="I81" s="8" t="n">
        <v>221.25</v>
      </c>
      <c r="J81" s="8" t="n"/>
      <c r="K81" s="8">
        <f>IF(COUNT(H81:J81)&gt;=2,MAX(H81:J81)-MIN(H81:J81),"")</f>
        <v/>
      </c>
      <c r="L81" s="9">
        <f>IF(ISNUMBER(K81),IF(MAX(ABS(MAX(H81:J81)),ABS(MIN(H81:J81)))=0,"",K81/MAX(ABS(MAX(H81:J81)),ABS(MIN(H81:J81)))),"")</f>
        <v/>
      </c>
      <c r="M81" s="2">
        <f>IF(AND(ISNUMBER(K81),ISNUMBER(L81)),IF(AND(K81&gt;=Ringkasan!$B$10,L81&gt;=Ringkasan!$B$11),"yes",""),"")</f>
        <v/>
      </c>
      <c r="N81" s="2" t="n"/>
      <c r="O81" s="2" t="n"/>
      <c r="Q81" s="2" t="inlineStr">
        <is>
          <t>terminal; pumpfun-app; bloom</t>
        </is>
      </c>
      <c r="S81" s="2" t="n"/>
      <c r="U81" s="2" t="n">
        <v>81</v>
      </c>
    </row>
    <row r="82">
      <c r="A82" s="2" t="inlineStr">
        <is>
          <t>5gwMz5DsqtrZjfaqPv8Rzeg5PsMQiFmGpVhB92eQyFQ8</t>
        </is>
      </c>
      <c r="B82" s="2" t="inlineStr">
        <is>
          <t>The Process</t>
        </is>
      </c>
      <c r="C82" s="2">
        <f>COUNT(E82:G82)</f>
        <v/>
      </c>
      <c r="D82" s="2" t="inlineStr">
        <is>
          <t>SolanaTracker</t>
        </is>
      </c>
      <c r="E82" s="2" t="n"/>
      <c r="F82" s="2" t="n">
        <v>81</v>
      </c>
      <c r="G82" s="2" t="n"/>
      <c r="H82" s="8" t="n"/>
      <c r="I82" s="8" t="n">
        <v>216.22</v>
      </c>
      <c r="J82" s="8" t="n"/>
      <c r="K82" s="8">
        <f>IF(COUNT(H82:J82)&gt;=2,MAX(H82:J82)-MIN(H82:J82),"")</f>
        <v/>
      </c>
      <c r="L82" s="9">
        <f>IF(ISNUMBER(K82),IF(MAX(ABS(MAX(H82:J82)),ABS(MIN(H82:J82)))=0,"",K82/MAX(ABS(MAX(H82:J82)),ABS(MIN(H82:J82)))),"")</f>
        <v/>
      </c>
      <c r="M82" s="2">
        <f>IF(AND(ISNUMBER(K82),ISNUMBER(L82)),IF(AND(K82&gt;=Ringkasan!$B$10,L82&gt;=Ringkasan!$B$11),"yes",""),"")</f>
        <v/>
      </c>
      <c r="N82" s="2" t="n"/>
      <c r="O82" s="2" t="n"/>
      <c r="Q82" s="2" t="inlineStr">
        <is>
          <t>fomo</t>
        </is>
      </c>
      <c r="S82" s="2" t="n"/>
      <c r="U82" s="2" t="n">
        <v>82</v>
      </c>
    </row>
    <row r="83">
      <c r="A83" s="2" t="inlineStr">
        <is>
          <t>ENyBLxtexGkgcNheAc4PpAjo7889wQADhxAQLCoE7kdD</t>
        </is>
      </c>
      <c r="B83" s="2" t="n"/>
      <c r="C83" s="2">
        <f>COUNT(E83:G83)</f>
        <v/>
      </c>
      <c r="D83" s="2" t="inlineStr">
        <is>
          <t>SolanaTracker</t>
        </is>
      </c>
      <c r="E83" s="2" t="n"/>
      <c r="F83" s="2" t="n">
        <v>82</v>
      </c>
      <c r="G83" s="2" t="n"/>
      <c r="H83" s="8" t="n"/>
      <c r="I83" s="8" t="n">
        <v>213.2</v>
      </c>
      <c r="J83" s="8" t="n"/>
      <c r="K83" s="8">
        <f>IF(COUNT(H83:J83)&gt;=2,MAX(H83:J83)-MIN(H83:J83),"")</f>
        <v/>
      </c>
      <c r="L83" s="9">
        <f>IF(ISNUMBER(K83),IF(MAX(ABS(MAX(H83:J83)),ABS(MIN(H83:J83)))=0,"",K83/MAX(ABS(MAX(H83:J83)),ABS(MIN(H83:J83)))),"")</f>
        <v/>
      </c>
      <c r="M83" s="2">
        <f>IF(AND(ISNUMBER(K83),ISNUMBER(L83)),IF(AND(K83&gt;=Ringkasan!$B$10,L83&gt;=Ringkasan!$B$11),"yes",""),"")</f>
        <v/>
      </c>
      <c r="N83" s="2" t="n"/>
      <c r="O83" s="2" t="n"/>
      <c r="Q83" s="2" t="n"/>
      <c r="S83" s="2" t="n"/>
      <c r="U83" s="2" t="n">
        <v>83</v>
      </c>
    </row>
    <row r="84">
      <c r="A84" s="2" t="inlineStr">
        <is>
          <t>6vBcVmSJWR6N91WYFwEoN6k9mnEqYAgQ8grjV919hLLr</t>
        </is>
      </c>
      <c r="B84" s="2" t="inlineStr">
        <is>
          <t>wellsalmon58866</t>
        </is>
      </c>
      <c r="C84" s="2">
        <f>COUNT(E84:G84)</f>
        <v/>
      </c>
      <c r="D84" s="2" t="inlineStr">
        <is>
          <t>SolanaTracker</t>
        </is>
      </c>
      <c r="E84" s="2" t="n"/>
      <c r="F84" s="2" t="n">
        <v>83</v>
      </c>
      <c r="G84" s="2" t="n"/>
      <c r="H84" s="8" t="n"/>
      <c r="I84" s="8" t="n">
        <v>207.36</v>
      </c>
      <c r="J84" s="8" t="n"/>
      <c r="K84" s="8">
        <f>IF(COUNT(H84:J84)&gt;=2,MAX(H84:J84)-MIN(H84:J84),"")</f>
        <v/>
      </c>
      <c r="L84" s="9">
        <f>IF(ISNUMBER(K84),IF(MAX(ABS(MAX(H84:J84)),ABS(MIN(H84:J84)))=0,"",K84/MAX(ABS(MAX(H84:J84)),ABS(MIN(H84:J84)))),"")</f>
        <v/>
      </c>
      <c r="M84" s="2">
        <f>IF(AND(ISNUMBER(K84),ISNUMBER(L84)),IF(AND(K84&gt;=Ringkasan!$B$10,L84&gt;=Ringkasan!$B$11),"yes",""),"")</f>
        <v/>
      </c>
      <c r="N84" s="2" t="n"/>
      <c r="O84" s="2" t="n"/>
      <c r="Q84" s="2" t="inlineStr">
        <is>
          <t>terminal; pumpfun-app; sns</t>
        </is>
      </c>
      <c r="S84" s="2" t="n"/>
      <c r="U84" s="2" t="n">
        <v>84</v>
      </c>
    </row>
    <row r="85">
      <c r="A85" s="2" t="inlineStr">
        <is>
          <t>C6FjkGqeZiBcLEjaV6FXjouwgG2zDDWifS6QKd922eHd</t>
        </is>
      </c>
      <c r="B85" s="2" t="inlineStr">
        <is>
          <t>turbolobsterpro</t>
        </is>
      </c>
      <c r="C85" s="2">
        <f>COUNT(E85:G85)</f>
        <v/>
      </c>
      <c r="D85" s="2" t="inlineStr">
        <is>
          <t>SolanaTracker</t>
        </is>
      </c>
      <c r="E85" s="2" t="n"/>
      <c r="F85" s="2" t="n">
        <v>84</v>
      </c>
      <c r="G85" s="2" t="n"/>
      <c r="H85" s="8" t="n"/>
      <c r="I85" s="8" t="n">
        <v>203.61</v>
      </c>
      <c r="J85" s="8" t="n"/>
      <c r="K85" s="8">
        <f>IF(COUNT(H85:J85)&gt;=2,MAX(H85:J85)-MIN(H85:J85),"")</f>
        <v/>
      </c>
      <c r="L85" s="9">
        <f>IF(ISNUMBER(K85),IF(MAX(ABS(MAX(H85:J85)),ABS(MIN(H85:J85)))=0,"",K85/MAX(ABS(MAX(H85:J85)),ABS(MIN(H85:J85)))),"")</f>
        <v/>
      </c>
      <c r="M85" s="2">
        <f>IF(AND(ISNUMBER(K85),ISNUMBER(L85)),IF(AND(K85&gt;=Ringkasan!$B$10,L85&gt;=Ringkasan!$B$11),"yes",""),"")</f>
        <v/>
      </c>
      <c r="N85" s="2" t="n"/>
      <c r="O85" s="2" t="n"/>
      <c r="Q85" s="2" t="inlineStr">
        <is>
          <t>axiom; pumpfun-app</t>
        </is>
      </c>
      <c r="S85" s="2" t="n"/>
      <c r="U85" s="2" t="n">
        <v>85</v>
      </c>
    </row>
    <row r="86">
      <c r="A86" s="2" t="inlineStr">
        <is>
          <t>HhC5HDu5NJKxucYCUjPJqzVi4yEDNune7rg7XnK2QZ8P</t>
        </is>
      </c>
      <c r="B86" s="2" t="inlineStr">
        <is>
          <t>KindlyCalmSaver</t>
        </is>
      </c>
      <c r="C86" s="2">
        <f>COUNT(E86:G86)</f>
        <v/>
      </c>
      <c r="D86" s="2" t="inlineStr">
        <is>
          <t>SolanaTracker</t>
        </is>
      </c>
      <c r="E86" s="2" t="n"/>
      <c r="F86" s="2" t="n">
        <v>85</v>
      </c>
      <c r="G86" s="2" t="n"/>
      <c r="H86" s="8" t="n"/>
      <c r="I86" s="8" t="n">
        <v>203.12</v>
      </c>
      <c r="J86" s="8" t="n"/>
      <c r="K86" s="8">
        <f>IF(COUNT(H86:J86)&gt;=2,MAX(H86:J86)-MIN(H86:J86),"")</f>
        <v/>
      </c>
      <c r="L86" s="9">
        <f>IF(ISNUMBER(K86),IF(MAX(ABS(MAX(H86:J86)),ABS(MIN(H86:J86)))=0,"",K86/MAX(ABS(MAX(H86:J86)),ABS(MIN(H86:J86)))),"")</f>
        <v/>
      </c>
      <c r="M86" s="2">
        <f>IF(AND(ISNUMBER(K86),ISNUMBER(L86)),IF(AND(K86&gt;=Ringkasan!$B$10,L86&gt;=Ringkasan!$B$11),"yes",""),"")</f>
        <v/>
      </c>
      <c r="N86" s="2" t="n"/>
      <c r="O86" s="2" t="n"/>
      <c r="Q86" s="2" t="inlineStr">
        <is>
          <t>terminal; pumpfun-app; developer</t>
        </is>
      </c>
      <c r="S86" s="2" t="n"/>
      <c r="U86" s="2" t="n">
        <v>86</v>
      </c>
    </row>
    <row r="87">
      <c r="A87" s="2" t="inlineStr">
        <is>
          <t>SBkvcg5Hjarc6AmSAcqvS6RqyxC6grkDEpQedAyYxBK</t>
        </is>
      </c>
      <c r="B87" s="2" t="n"/>
      <c r="C87" s="2">
        <f>COUNT(E87:G87)</f>
        <v/>
      </c>
      <c r="D87" s="2" t="inlineStr">
        <is>
          <t>SolanaTracker</t>
        </is>
      </c>
      <c r="E87" s="2" t="n"/>
      <c r="F87" s="2" t="n">
        <v>86</v>
      </c>
      <c r="G87" s="2" t="n"/>
      <c r="H87" s="8" t="n"/>
      <c r="I87" s="8" t="n">
        <v>200.05</v>
      </c>
      <c r="J87" s="8" t="n"/>
      <c r="K87" s="8">
        <f>IF(COUNT(H87:J87)&gt;=2,MAX(H87:J87)-MIN(H87:J87),"")</f>
        <v/>
      </c>
      <c r="L87" s="9">
        <f>IF(ISNUMBER(K87),IF(MAX(ABS(MAX(H87:J87)),ABS(MIN(H87:J87)))=0,"",K87/MAX(ABS(MAX(H87:J87)),ABS(MIN(H87:J87)))),"")</f>
        <v/>
      </c>
      <c r="M87" s="2">
        <f>IF(AND(ISNUMBER(K87),ISNUMBER(L87)),IF(AND(K87&gt;=Ringkasan!$B$10,L87&gt;=Ringkasan!$B$11),"yes",""),"")</f>
        <v/>
      </c>
      <c r="N87" s="2" t="n"/>
      <c r="O87" s="2" t="n"/>
      <c r="Q87" s="2" t="inlineStr">
        <is>
          <t>gmgn</t>
        </is>
      </c>
      <c r="S87" s="2" t="n"/>
      <c r="U87" s="2" t="n">
        <v>87</v>
      </c>
    </row>
    <row r="88">
      <c r="A88" s="2" t="inlineStr">
        <is>
          <t>4uzDxMLgqy2TFmkqNwtpfMh9cufxoUcZS9S4uZDVEM3E</t>
        </is>
      </c>
      <c r="B88" s="2" t="inlineStr">
        <is>
          <t>Nepidar Ебучая Бананья</t>
        </is>
      </c>
      <c r="C88" s="2">
        <f>COUNT(E88:G88)</f>
        <v/>
      </c>
      <c r="D88" s="2" t="inlineStr">
        <is>
          <t>SolanaTracker</t>
        </is>
      </c>
      <c r="E88" s="2" t="n"/>
      <c r="F88" s="2" t="n">
        <v>87</v>
      </c>
      <c r="G88" s="2" t="n"/>
      <c r="H88" s="8" t="n"/>
      <c r="I88" s="8" t="n">
        <v>198.76</v>
      </c>
      <c r="J88" s="8" t="n"/>
      <c r="K88" s="8">
        <f>IF(COUNT(H88:J88)&gt;=2,MAX(H88:J88)-MIN(H88:J88),"")</f>
        <v/>
      </c>
      <c r="L88" s="9">
        <f>IF(ISNUMBER(K88),IF(MAX(ABS(MAX(H88:J88)),ABS(MIN(H88:J88)))=0,"",K88/MAX(ABS(MAX(H88:J88)),ABS(MIN(H88:J88)))),"")</f>
        <v/>
      </c>
      <c r="M88" s="2">
        <f>IF(AND(ISNUMBER(K88),ISNUMBER(L88)),IF(AND(K88&gt;=Ringkasan!$B$10,L88&gt;=Ringkasan!$B$11),"yes",""),"")</f>
        <v/>
      </c>
      <c r="N88" s="2" t="n"/>
      <c r="O88" s="2" t="n"/>
      <c r="Q88" s="2" t="inlineStr">
        <is>
          <t>fomo</t>
        </is>
      </c>
      <c r="S88" s="2" t="n"/>
      <c r="U88" s="2" t="n">
        <v>88</v>
      </c>
    </row>
    <row r="89">
      <c r="A89" s="2" t="inlineStr">
        <is>
          <t>DnFBY7HPGZzCqLcYfkeyvsNqqcF6c1q84z8iJZfZvUat</t>
        </is>
      </c>
      <c r="B89" s="2" t="n"/>
      <c r="C89" s="2">
        <f>COUNT(E89:G89)</f>
        <v/>
      </c>
      <c r="D89" s="2" t="inlineStr">
        <is>
          <t>SolanaTracker</t>
        </is>
      </c>
      <c r="E89" s="2" t="n"/>
      <c r="F89" s="2" t="n">
        <v>88</v>
      </c>
      <c r="G89" s="2" t="n"/>
      <c r="H89" s="8" t="n"/>
      <c r="I89" s="8" t="n">
        <v>196.5</v>
      </c>
      <c r="J89" s="8" t="n"/>
      <c r="K89" s="8">
        <f>IF(COUNT(H89:J89)&gt;=2,MAX(H89:J89)-MIN(H89:J89),"")</f>
        <v/>
      </c>
      <c r="L89" s="9">
        <f>IF(ISNUMBER(K89),IF(MAX(ABS(MAX(H89:J89)),ABS(MIN(H89:J89)))=0,"",K89/MAX(ABS(MAX(H89:J89)),ABS(MIN(H89:J89)))),"")</f>
        <v/>
      </c>
      <c r="M89" s="2">
        <f>IF(AND(ISNUMBER(K89),ISNUMBER(L89)),IF(AND(K89&gt;=Ringkasan!$B$10,L89&gt;=Ringkasan!$B$11),"yes",""),"")</f>
        <v/>
      </c>
      <c r="N89" s="2" t="n"/>
      <c r="O89" s="2" t="n"/>
      <c r="Q89" s="2" t="n"/>
      <c r="S89" s="2" t="n"/>
      <c r="U89" s="2" t="n">
        <v>89</v>
      </c>
    </row>
    <row r="90">
      <c r="A90" s="2" t="inlineStr">
        <is>
          <t>5hCaQz3GgFBhULcygoq7bsfNr6JkBrSu4aA2mW6uTtsu</t>
        </is>
      </c>
      <c r="B90" s="2" t="n"/>
      <c r="C90" s="2">
        <f>COUNT(E90:G90)</f>
        <v/>
      </c>
      <c r="D90" s="2" t="inlineStr">
        <is>
          <t>SolanaTracker</t>
        </is>
      </c>
      <c r="E90" s="2" t="n"/>
      <c r="F90" s="2" t="n">
        <v>89</v>
      </c>
      <c r="G90" s="2" t="n"/>
      <c r="H90" s="8" t="n"/>
      <c r="I90" s="8" t="n">
        <v>196.3</v>
      </c>
      <c r="J90" s="8" t="n"/>
      <c r="K90" s="8">
        <f>IF(COUNT(H90:J90)&gt;=2,MAX(H90:J90)-MIN(H90:J90),"")</f>
        <v/>
      </c>
      <c r="L90" s="9">
        <f>IF(ISNUMBER(K90),IF(MAX(ABS(MAX(H90:J90)),ABS(MIN(H90:J90)))=0,"",K90/MAX(ABS(MAX(H90:J90)),ABS(MIN(H90:J90)))),"")</f>
        <v/>
      </c>
      <c r="M90" s="2">
        <f>IF(AND(ISNUMBER(K90),ISNUMBER(L90)),IF(AND(K90&gt;=Ringkasan!$B$10,L90&gt;=Ringkasan!$B$11),"yes",""),"")</f>
        <v/>
      </c>
      <c r="N90" s="2" t="n"/>
      <c r="O90" s="2" t="n"/>
      <c r="Q90" s="2" t="n"/>
      <c r="S90" s="2" t="n"/>
      <c r="U90" s="2" t="n">
        <v>90</v>
      </c>
    </row>
    <row r="91">
      <c r="A91" s="2" t="inlineStr">
        <is>
          <t>B3fEBTtBjjgAqWRX5TDsMJrZoYmeVhr7qVum8EHZQDB1</t>
        </is>
      </c>
      <c r="B91" s="2" t="n"/>
      <c r="C91" s="2">
        <f>COUNT(E91:G91)</f>
        <v/>
      </c>
      <c r="D91" s="2" t="inlineStr">
        <is>
          <t>SolanaTracker</t>
        </is>
      </c>
      <c r="E91" s="2" t="n"/>
      <c r="F91" s="2" t="n">
        <v>90</v>
      </c>
      <c r="G91" s="2" t="n"/>
      <c r="H91" s="8" t="n"/>
      <c r="I91" s="8" t="n">
        <v>194.97</v>
      </c>
      <c r="J91" s="8" t="n"/>
      <c r="K91" s="8">
        <f>IF(COUNT(H91:J91)&gt;=2,MAX(H91:J91)-MIN(H91:J91),"")</f>
        <v/>
      </c>
      <c r="L91" s="9">
        <f>IF(ISNUMBER(K91),IF(MAX(ABS(MAX(H91:J91)),ABS(MIN(H91:J91)))=0,"",K91/MAX(ABS(MAX(H91:J91)),ABS(MIN(H91:J91)))),"")</f>
        <v/>
      </c>
      <c r="M91" s="2">
        <f>IF(AND(ISNUMBER(K91),ISNUMBER(L91)),IF(AND(K91&gt;=Ringkasan!$B$10,L91&gt;=Ringkasan!$B$11),"yes",""),"")</f>
        <v/>
      </c>
      <c r="N91" s="2" t="n"/>
      <c r="O91" s="2" t="n"/>
      <c r="Q91" s="2" t="inlineStr">
        <is>
          <t>gmgn</t>
        </is>
      </c>
      <c r="S91" s="2" t="n"/>
      <c r="U91" s="2" t="n">
        <v>91</v>
      </c>
    </row>
    <row r="92">
      <c r="A92" s="2" t="inlineStr">
        <is>
          <t>3S4nLdaQpq1Gh6rYhM8TzAe8pd38dh5fqPZKHyQaoKs9</t>
        </is>
      </c>
      <c r="B92" s="2" t="n"/>
      <c r="C92" s="2">
        <f>COUNT(E92:G92)</f>
        <v/>
      </c>
      <c r="D92" s="2" t="inlineStr">
        <is>
          <t>SolanaTracker</t>
        </is>
      </c>
      <c r="E92" s="2" t="n"/>
      <c r="F92" s="2" t="n">
        <v>91</v>
      </c>
      <c r="G92" s="2" t="n"/>
      <c r="H92" s="8" t="n"/>
      <c r="I92" s="8" t="n">
        <v>190.13</v>
      </c>
      <c r="J92" s="8" t="n"/>
      <c r="K92" s="8">
        <f>IF(COUNT(H92:J92)&gt;=2,MAX(H92:J92)-MIN(H92:J92),"")</f>
        <v/>
      </c>
      <c r="L92" s="9">
        <f>IF(ISNUMBER(K92),IF(MAX(ABS(MAX(H92:J92)),ABS(MIN(H92:J92)))=0,"",K92/MAX(ABS(MAX(H92:J92)),ABS(MIN(H92:J92)))),"")</f>
        <v/>
      </c>
      <c r="M92" s="2">
        <f>IF(AND(ISNUMBER(K92),ISNUMBER(L92)),IF(AND(K92&gt;=Ringkasan!$B$10,L92&gt;=Ringkasan!$B$11),"yes",""),"")</f>
        <v/>
      </c>
      <c r="N92" s="2" t="n"/>
      <c r="O92" s="2" t="n"/>
      <c r="Q92" s="2" t="n"/>
      <c r="S92" s="2" t="n"/>
      <c r="U92" s="2" t="n">
        <v>92</v>
      </c>
    </row>
    <row r="93">
      <c r="A93" s="2" t="inlineStr">
        <is>
          <t>HJjKHWu4KuCFfwUZi4VwifMWFsaw3RMbg2nK22cDRcPz</t>
        </is>
      </c>
      <c r="B93" s="2" t="n"/>
      <c r="C93" s="2">
        <f>COUNT(E93:G93)</f>
        <v/>
      </c>
      <c r="D93" s="2" t="inlineStr">
        <is>
          <t>SolanaTracker</t>
        </is>
      </c>
      <c r="E93" s="2" t="n"/>
      <c r="F93" s="2" t="n">
        <v>92</v>
      </c>
      <c r="G93" s="2" t="n"/>
      <c r="H93" s="8" t="n"/>
      <c r="I93" s="8" t="n">
        <v>189.12</v>
      </c>
      <c r="J93" s="8" t="n"/>
      <c r="K93" s="8">
        <f>IF(COUNT(H93:J93)&gt;=2,MAX(H93:J93)-MIN(H93:J93),"")</f>
        <v/>
      </c>
      <c r="L93" s="9">
        <f>IF(ISNUMBER(K93),IF(MAX(ABS(MAX(H93:J93)),ABS(MIN(H93:J93)))=0,"",K93/MAX(ABS(MAX(H93:J93)),ABS(MIN(H93:J93)))),"")</f>
        <v/>
      </c>
      <c r="M93" s="2">
        <f>IF(AND(ISNUMBER(K93),ISNUMBER(L93)),IF(AND(K93&gt;=Ringkasan!$B$10,L93&gt;=Ringkasan!$B$11),"yes",""),"")</f>
        <v/>
      </c>
      <c r="N93" s="2" t="n"/>
      <c r="O93" s="2" t="n"/>
      <c r="Q93" s="2" t="n"/>
      <c r="S93" s="2" t="n"/>
      <c r="U93" s="2" t="n">
        <v>93</v>
      </c>
    </row>
    <row r="94">
      <c r="A94" s="2" t="inlineStr">
        <is>
          <t>2o5HWqoQmSPkf948tGotVtZwT6NhyQEZ7qrkxsztLuLZ</t>
        </is>
      </c>
      <c r="B94" s="2" t="n"/>
      <c r="C94" s="2">
        <f>COUNT(E94:G94)</f>
        <v/>
      </c>
      <c r="D94" s="2" t="inlineStr">
        <is>
          <t>SolanaTracker</t>
        </is>
      </c>
      <c r="E94" s="2" t="n"/>
      <c r="F94" s="2" t="n">
        <v>93</v>
      </c>
      <c r="G94" s="2" t="n"/>
      <c r="H94" s="8" t="n"/>
      <c r="I94" s="8" t="n">
        <v>188.11</v>
      </c>
      <c r="J94" s="8" t="n"/>
      <c r="K94" s="8">
        <f>IF(COUNT(H94:J94)&gt;=2,MAX(H94:J94)-MIN(H94:J94),"")</f>
        <v/>
      </c>
      <c r="L94" s="9">
        <f>IF(ISNUMBER(K94),IF(MAX(ABS(MAX(H94:J94)),ABS(MIN(H94:J94)))=0,"",K94/MAX(ABS(MAX(H94:J94)),ABS(MIN(H94:J94)))),"")</f>
        <v/>
      </c>
      <c r="M94" s="2">
        <f>IF(AND(ISNUMBER(K94),ISNUMBER(L94)),IF(AND(K94&gt;=Ringkasan!$B$10,L94&gt;=Ringkasan!$B$11),"yes",""),"")</f>
        <v/>
      </c>
      <c r="N94" s="2" t="n"/>
      <c r="O94" s="2" t="n"/>
      <c r="Q94" s="2" t="n"/>
      <c r="S94" s="2" t="n"/>
      <c r="U94" s="2" t="n">
        <v>94</v>
      </c>
    </row>
    <row r="95">
      <c r="A95" s="2" t="inlineStr">
        <is>
          <t>DsVmvFN43RUGyM1bVGUtfVsi2jfWDurme6ecb8yoDYpd</t>
        </is>
      </c>
      <c r="B95" s="2" t="inlineStr">
        <is>
          <t>loomingfish7657</t>
        </is>
      </c>
      <c r="C95" s="2">
        <f>COUNT(E95:G95)</f>
        <v/>
      </c>
      <c r="D95" s="2" t="inlineStr">
        <is>
          <t>SolanaTracker</t>
        </is>
      </c>
      <c r="E95" s="2" t="n"/>
      <c r="F95" s="2" t="n">
        <v>94</v>
      </c>
      <c r="G95" s="2" t="n"/>
      <c r="H95" s="8" t="n"/>
      <c r="I95" s="8" t="n">
        <v>186.61</v>
      </c>
      <c r="J95" s="8" t="n"/>
      <c r="K95" s="8">
        <f>IF(COUNT(H95:J95)&gt;=2,MAX(H95:J95)-MIN(H95:J95),"")</f>
        <v/>
      </c>
      <c r="L95" s="9">
        <f>IF(ISNUMBER(K95),IF(MAX(ABS(MAX(H95:J95)),ABS(MIN(H95:J95)))=0,"",K95/MAX(ABS(MAX(H95:J95)),ABS(MIN(H95:J95)))),"")</f>
        <v/>
      </c>
      <c r="M95" s="2">
        <f>IF(AND(ISNUMBER(K95),ISNUMBER(L95)),IF(AND(K95&gt;=Ringkasan!$B$10,L95&gt;=Ringkasan!$B$11),"yes",""),"")</f>
        <v/>
      </c>
      <c r="N95" s="2" t="n"/>
      <c r="O95" s="2" t="n"/>
      <c r="Q95" s="2" t="inlineStr">
        <is>
          <t>pumpfun-app</t>
        </is>
      </c>
      <c r="S95" s="2" t="n"/>
      <c r="U95" s="2" t="n">
        <v>95</v>
      </c>
    </row>
    <row r="96">
      <c r="A96" s="2" t="inlineStr">
        <is>
          <t>FHP9kXp9Q3mUjmeQGUHCJW28oaK4ELxphew3XZxJmveF</t>
        </is>
      </c>
      <c r="B96" s="2" t="n"/>
      <c r="C96" s="2">
        <f>COUNT(E96:G96)</f>
        <v/>
      </c>
      <c r="D96" s="2" t="inlineStr">
        <is>
          <t>SolanaTracker</t>
        </is>
      </c>
      <c r="E96" s="2" t="n"/>
      <c r="F96" s="2" t="n">
        <v>95</v>
      </c>
      <c r="G96" s="2" t="n"/>
      <c r="H96" s="8" t="n"/>
      <c r="I96" s="8" t="n">
        <v>184.65</v>
      </c>
      <c r="J96" s="8" t="n"/>
      <c r="K96" s="8">
        <f>IF(COUNT(H96:J96)&gt;=2,MAX(H96:J96)-MIN(H96:J96),"")</f>
        <v/>
      </c>
      <c r="L96" s="9">
        <f>IF(ISNUMBER(K96),IF(MAX(ABS(MAX(H96:J96)),ABS(MIN(H96:J96)))=0,"",K96/MAX(ABS(MAX(H96:J96)),ABS(MIN(H96:J96)))),"")</f>
        <v/>
      </c>
      <c r="M96" s="2">
        <f>IF(AND(ISNUMBER(K96),ISNUMBER(L96)),IF(AND(K96&gt;=Ringkasan!$B$10,L96&gt;=Ringkasan!$B$11),"yes",""),"")</f>
        <v/>
      </c>
      <c r="N96" s="2" t="n"/>
      <c r="O96" s="2" t="n"/>
      <c r="Q96" s="2" t="inlineStr">
        <is>
          <t>gmgn</t>
        </is>
      </c>
      <c r="S96" s="2" t="n"/>
      <c r="U96" s="2" t="n">
        <v>96</v>
      </c>
    </row>
    <row r="97">
      <c r="A97" s="2" t="inlineStr">
        <is>
          <t>8oDNBTruNf2rgB6YYokgkQbYNP78A7fKL3EpX7bfuAzt</t>
        </is>
      </c>
      <c r="B97" s="2" t="inlineStr">
        <is>
          <t>wellwellwell</t>
        </is>
      </c>
      <c r="C97" s="2">
        <f>COUNT(E97:G97)</f>
        <v/>
      </c>
      <c r="D97" s="2" t="inlineStr">
        <is>
          <t>SolanaTracker</t>
        </is>
      </c>
      <c r="E97" s="2" t="n"/>
      <c r="F97" s="2" t="n">
        <v>96</v>
      </c>
      <c r="G97" s="2" t="n"/>
      <c r="H97" s="8" t="n"/>
      <c r="I97" s="8" t="n">
        <v>182.73</v>
      </c>
      <c r="J97" s="8" t="n"/>
      <c r="K97" s="8">
        <f>IF(COUNT(H97:J97)&gt;=2,MAX(H97:J97)-MIN(H97:J97),"")</f>
        <v/>
      </c>
      <c r="L97" s="9">
        <f>IF(ISNUMBER(K97),IF(MAX(ABS(MAX(H97:J97)),ABS(MIN(H97:J97)))=0,"",K97/MAX(ABS(MAX(H97:J97)),ABS(MIN(H97:J97)))),"")</f>
        <v/>
      </c>
      <c r="M97" s="2">
        <f>IF(AND(ISNUMBER(K97),ISNUMBER(L97)),IF(AND(K97&gt;=Ringkasan!$B$10,L97&gt;=Ringkasan!$B$11),"yes",""),"")</f>
        <v/>
      </c>
      <c r="N97" s="2" t="n"/>
      <c r="O97" s="2" t="n"/>
      <c r="Q97" s="2" t="inlineStr">
        <is>
          <t>pumpfun-app; sns</t>
        </is>
      </c>
      <c r="S97" s="2" t="n"/>
      <c r="U97" s="2" t="n">
        <v>97</v>
      </c>
    </row>
    <row r="98">
      <c r="A98" s="2" t="inlineStr">
        <is>
          <t>Fc6bWobLJHANxT4fDv6ppgJkV2w2tkqjtAtJjyoRNBoM</t>
        </is>
      </c>
      <c r="B98" s="2" t="n"/>
      <c r="C98" s="2">
        <f>COUNT(E98:G98)</f>
        <v/>
      </c>
      <c r="D98" s="2" t="inlineStr">
        <is>
          <t>SolanaTracker</t>
        </is>
      </c>
      <c r="E98" s="2" t="n"/>
      <c r="F98" s="2" t="n">
        <v>97</v>
      </c>
      <c r="G98" s="2" t="n"/>
      <c r="H98" s="8" t="n"/>
      <c r="I98" s="8" t="n">
        <v>179.35</v>
      </c>
      <c r="J98" s="8" t="n"/>
      <c r="K98" s="8">
        <f>IF(COUNT(H98:J98)&gt;=2,MAX(H98:J98)-MIN(H98:J98),"")</f>
        <v/>
      </c>
      <c r="L98" s="9">
        <f>IF(ISNUMBER(K98),IF(MAX(ABS(MAX(H98:J98)),ABS(MIN(H98:J98)))=0,"",K98/MAX(ABS(MAX(H98:J98)),ABS(MIN(H98:J98)))),"")</f>
        <v/>
      </c>
      <c r="M98" s="2">
        <f>IF(AND(ISNUMBER(K98),ISNUMBER(L98)),IF(AND(K98&gt;=Ringkasan!$B$10,L98&gt;=Ringkasan!$B$11),"yes",""),"")</f>
        <v/>
      </c>
      <c r="N98" s="2" t="n"/>
      <c r="O98" s="2" t="n"/>
      <c r="Q98" s="2" t="inlineStr">
        <is>
          <t>gmgn</t>
        </is>
      </c>
      <c r="S98" s="2" t="n"/>
      <c r="U98" s="2" t="n">
        <v>98</v>
      </c>
    </row>
    <row r="99">
      <c r="A99" s="2" t="inlineStr">
        <is>
          <t>2NM7ZxPw3vmSkE6szGudWVoovnyzpKHNcFtG47ZafC3d</t>
        </is>
      </c>
      <c r="B99" s="2" t="inlineStr">
        <is>
          <t>solstasher777</t>
        </is>
      </c>
      <c r="C99" s="2">
        <f>COUNT(E99:G99)</f>
        <v/>
      </c>
      <c r="D99" s="2" t="inlineStr">
        <is>
          <t>SolanaTracker</t>
        </is>
      </c>
      <c r="E99" s="2" t="n"/>
      <c r="F99" s="2" t="n">
        <v>98</v>
      </c>
      <c r="G99" s="2" t="n"/>
      <c r="H99" s="8" t="n"/>
      <c r="I99" s="8" t="n">
        <v>177.56</v>
      </c>
      <c r="J99" s="8" t="n"/>
      <c r="K99" s="8">
        <f>IF(COUNT(H99:J99)&gt;=2,MAX(H99:J99)-MIN(H99:J99),"")</f>
        <v/>
      </c>
      <c r="L99" s="9">
        <f>IF(ISNUMBER(K99),IF(MAX(ABS(MAX(H99:J99)),ABS(MIN(H99:J99)))=0,"",K99/MAX(ABS(MAX(H99:J99)),ABS(MIN(H99:J99)))),"")</f>
        <v/>
      </c>
      <c r="M99" s="2">
        <f>IF(AND(ISNUMBER(K99),ISNUMBER(L99)),IF(AND(K99&gt;=Ringkasan!$B$10,L99&gt;=Ringkasan!$B$11),"yes",""),"")</f>
        <v/>
      </c>
      <c r="N99" s="2" t="n"/>
      <c r="O99" s="2" t="n"/>
      <c r="Q99" s="2" t="inlineStr">
        <is>
          <t>gmgn; pumpfun-app</t>
        </is>
      </c>
      <c r="S99" s="2" t="n"/>
      <c r="U99" s="2" t="n">
        <v>99</v>
      </c>
    </row>
    <row r="100">
      <c r="A100" s="2" t="inlineStr">
        <is>
          <t>CCcukkbyKuBmasF2xAwbvGPsqvsLS4KAeMepqSUgoJEm</t>
        </is>
      </c>
      <c r="B100" s="2" t="n"/>
      <c r="C100" s="2">
        <f>COUNT(E100:G100)</f>
        <v/>
      </c>
      <c r="D100" s="2" t="inlineStr">
        <is>
          <t>SolanaTracker</t>
        </is>
      </c>
      <c r="E100" s="2" t="n"/>
      <c r="F100" s="2" t="n">
        <v>99</v>
      </c>
      <c r="G100" s="2" t="n"/>
      <c r="H100" s="8" t="n"/>
      <c r="I100" s="8" t="n">
        <v>173.94</v>
      </c>
      <c r="J100" s="8" t="n"/>
      <c r="K100" s="8">
        <f>IF(COUNT(H100:J100)&gt;=2,MAX(H100:J100)-MIN(H100:J100),"")</f>
        <v/>
      </c>
      <c r="L100" s="9">
        <f>IF(ISNUMBER(K100),IF(MAX(ABS(MAX(H100:J100)),ABS(MIN(H100:J100)))=0,"",K100/MAX(ABS(MAX(H100:J100)),ABS(MIN(H100:J100)))),"")</f>
        <v/>
      </c>
      <c r="M100" s="2">
        <f>IF(AND(ISNUMBER(K100),ISNUMBER(L100)),IF(AND(K100&gt;=Ringkasan!$B$10,L100&gt;=Ringkasan!$B$11),"yes",""),"")</f>
        <v/>
      </c>
      <c r="N100" s="2" t="n"/>
      <c r="O100" s="2" t="n"/>
      <c r="Q100" s="2" t="inlineStr">
        <is>
          <t>gmgn</t>
        </is>
      </c>
      <c r="S100" s="2" t="n"/>
      <c r="U100" s="2" t="n">
        <v>100</v>
      </c>
    </row>
    <row r="101">
      <c r="A101" s="2" t="inlineStr">
        <is>
          <t>7gMuKn4PCSYZr97FvURZraJ3y7kWL2UMsKQSMMp1dZ1C</t>
        </is>
      </c>
      <c r="B101" s="2" t="n"/>
      <c r="C101" s="2">
        <f>COUNT(E101:G101)</f>
        <v/>
      </c>
      <c r="D101" s="2" t="inlineStr">
        <is>
          <t>SolanaTracker</t>
        </is>
      </c>
      <c r="E101" s="2" t="n"/>
      <c r="F101" s="2" t="n">
        <v>100</v>
      </c>
      <c r="G101" s="2" t="n"/>
      <c r="H101" s="8" t="n"/>
      <c r="I101" s="8" t="n">
        <v>171.86</v>
      </c>
      <c r="J101" s="8" t="n"/>
      <c r="K101" s="8">
        <f>IF(COUNT(H101:J101)&gt;=2,MAX(H101:J101)-MIN(H101:J101),"")</f>
        <v/>
      </c>
      <c r="L101" s="9">
        <f>IF(ISNUMBER(K101),IF(MAX(ABS(MAX(H101:J101)),ABS(MIN(H101:J101)))=0,"",K101/MAX(ABS(MAX(H101:J101)),ABS(MIN(H101:J101)))),"")</f>
        <v/>
      </c>
      <c r="M101" s="2">
        <f>IF(AND(ISNUMBER(K101),ISNUMBER(L101)),IF(AND(K101&gt;=Ringkasan!$B$10,L101&gt;=Ringkasan!$B$11),"yes",""),"")</f>
        <v/>
      </c>
      <c r="N101" s="2" t="n"/>
      <c r="O101" s="2" t="n"/>
      <c r="Q101" s="2" t="n"/>
      <c r="S101" s="2" t="n"/>
      <c r="U101" s="2" t="n">
        <v>101</v>
      </c>
    </row>
  </sheetData>
  <autoFilter ref="A1:V101"/>
  <conditionalFormatting sqref="K2:M101">
    <cfRule type="expression" priority="1" dxfId="0">
      <formula>$M2="yes"</formula>
    </cfRule>
  </conditionalFormatting>
  <conditionalFormatting sqref="O2:O101">
    <cfRule type="expression" priority="2" dxfId="0">
      <formula>LEN($O2)&gt;0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Vybe.</t>
        </is>
      </c>
    </row>
    <row r="2">
      <c r="A2" s="2" t="inlineStr">
        <is>
          <t>Status: gagal</t>
        </is>
      </c>
    </row>
    <row r="3">
      <c r="A3" s="2" t="inlineStr">
        <is>
          <t>Error: Vybe returned no traders for this token.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32" customWidth="1" min="3" max="3"/>
    <col width="24" customWidth="1" min="4" max="4"/>
    <col width="18" customWidth="1" min="5" max="5"/>
    <col width="20" customWidth="1" min="6" max="6"/>
    <col width="15" customWidth="1" min="7" max="7"/>
    <col width="11" customWidth="1" min="8" max="8"/>
    <col width="14" customWidth="1" min="9" max="9"/>
    <col width="14" customWidth="1" min="10" max="10"/>
    <col width="8" customWidth="1" min="11" max="11"/>
    <col width="8" customWidth="1" min="12" max="12"/>
    <col width="22" customWidth="1" min="13" max="13"/>
    <col width="22" customWidth="1" min="14" max="14"/>
    <col width="16" customWidth="1" min="15" max="15"/>
    <col width="20" customWidth="1" min="16" max="16"/>
    <col width="11" customWidth="1" min="17" max="17"/>
    <col width="34" customWidth="1" min="18" max="18"/>
    <col width="24" customWidth="1" min="19" max="19"/>
    <col width="22" customWidth="1" min="20" max="20"/>
  </cols>
  <sheetData>
    <row r="1">
      <c r="A1" s="6" t="inlineStr">
        <is>
          <t>rank</t>
        </is>
      </c>
      <c r="B1" s="6" t="inlineStr">
        <is>
          <t>wallet</t>
        </is>
      </c>
      <c r="C1" s="6" t="inlineStr">
        <is>
          <t>labels</t>
        </is>
      </c>
      <c r="D1" s="6" t="inlineStr">
        <is>
          <t>identity_name</t>
        </is>
      </c>
      <c r="E1" s="6" t="inlineStr">
        <is>
          <t>realized_pnl_usd</t>
        </is>
      </c>
      <c r="F1" s="6" t="inlineStr">
        <is>
          <t>unrealized_pnl_usd</t>
        </is>
      </c>
      <c r="G1" s="6" t="inlineStr">
        <is>
          <t>total_pnl_usd</t>
        </is>
      </c>
      <c r="H1" s="6" t="inlineStr">
        <is>
          <t>roi</t>
        </is>
      </c>
      <c r="I1" s="6" t="inlineStr">
        <is>
          <t>invested_usd</t>
        </is>
      </c>
      <c r="J1" s="6" t="inlineStr">
        <is>
          <t>proceeds_usd</t>
        </is>
      </c>
      <c r="K1" s="6" t="inlineStr">
        <is>
          <t>buys</t>
        </is>
      </c>
      <c r="L1" s="6" t="inlineStr">
        <is>
          <t>sells</t>
        </is>
      </c>
      <c r="M1" s="6" t="inlineStr">
        <is>
          <t>first_trade_utc</t>
        </is>
      </c>
      <c r="N1" s="6" t="inlineStr">
        <is>
          <t>last_trade_utc</t>
        </is>
      </c>
      <c r="O1" s="6" t="inlineStr">
        <is>
          <t>hold_time_secs</t>
        </is>
      </c>
      <c r="P1" s="6" t="inlineStr">
        <is>
          <t>balance</t>
        </is>
      </c>
      <c r="Q1" s="6" t="inlineStr">
        <is>
          <t>value_usd</t>
        </is>
      </c>
      <c r="R1" s="6" t="inlineStr">
        <is>
          <t>wallet_lifetime_realized_pnl_usd</t>
        </is>
      </c>
      <c r="S1" s="6" t="inlineStr">
        <is>
          <t>wallet_lifetime_trades</t>
        </is>
      </c>
      <c r="T1" s="6" t="inlineStr">
        <is>
          <t>wallet_tokens_traded</t>
        </is>
      </c>
    </row>
    <row r="2">
      <c r="A2" s="2" t="n">
        <v>1</v>
      </c>
      <c r="B2" s="2" t="inlineStr">
        <is>
          <t>vmjPqPtBmd6aoPbqQC7iPk9ToaNx1HCUFyNHm7BjZy6</t>
        </is>
      </c>
      <c r="E2" s="8" t="n">
        <v>5211.24</v>
      </c>
      <c r="F2" s="8" t="n">
        <v>0</v>
      </c>
      <c r="G2" s="8" t="n">
        <v>5211.24</v>
      </c>
      <c r="H2" s="2" t="n">
        <v>2603.2</v>
      </c>
      <c r="I2" s="8" t="n">
        <v>200.19</v>
      </c>
      <c r="J2" s="8" t="n">
        <v>5411.43</v>
      </c>
      <c r="K2" s="2" t="n">
        <v>1</v>
      </c>
      <c r="L2" s="2" t="n">
        <v>2</v>
      </c>
      <c r="M2" s="2" t="inlineStr">
        <is>
          <t>2026-09-13T08:30:12Z</t>
        </is>
      </c>
      <c r="N2" s="2" t="inlineStr">
        <is>
          <t>2026-09-13T08:39:04Z</t>
        </is>
      </c>
      <c r="O2" s="2" t="n">
        <v>2760206</v>
      </c>
      <c r="P2" s="2" t="n">
        <v>1.32786e-10</v>
      </c>
      <c r="Q2" s="8" t="n">
        <v>0</v>
      </c>
      <c r="R2" s="8" t="n">
        <v>3340.12</v>
      </c>
      <c r="S2" s="2" t="n">
        <v>306</v>
      </c>
      <c r="T2" s="2" t="n">
        <v>136</v>
      </c>
    </row>
    <row r="3">
      <c r="A3" s="2" t="n">
        <v>2</v>
      </c>
      <c r="B3" s="2" t="inlineStr">
        <is>
          <t>2heJbC32Tpfcb3nbUb5ER61K11FGZVfVGtVnDm6LDogF</t>
        </is>
      </c>
      <c r="C3" s="2" t="inlineStr">
        <is>
          <t>fomo</t>
        </is>
      </c>
      <c r="D3" s="2" t="inlineStr">
        <is>
          <t>Unipcs</t>
        </is>
      </c>
      <c r="E3" s="8" t="n">
        <v>3794.28</v>
      </c>
      <c r="F3" s="8" t="n">
        <v>0</v>
      </c>
      <c r="G3" s="8" t="n">
        <v>3794.28</v>
      </c>
      <c r="H3" s="2" t="n">
        <v>0</v>
      </c>
      <c r="I3" s="8" t="n">
        <v>0</v>
      </c>
      <c r="J3" s="8" t="n">
        <v>3794.28</v>
      </c>
      <c r="K3" s="2" t="n">
        <v>0</v>
      </c>
      <c r="L3" s="2" t="n">
        <v>1</v>
      </c>
      <c r="M3" s="2" t="inlineStr">
        <is>
          <t>2026-09-13T11:37:00Z</t>
        </is>
      </c>
      <c r="N3" s="2" t="inlineStr">
        <is>
          <t>2026-09-13T11:37:00Z</t>
        </is>
      </c>
      <c r="P3" s="2" t="n">
        <v>0</v>
      </c>
      <c r="Q3" s="8" t="n">
        <v>0</v>
      </c>
      <c r="R3" s="8" t="n">
        <v>44308.54</v>
      </c>
      <c r="S3" s="2" t="n">
        <v>258</v>
      </c>
      <c r="T3" s="2" t="n">
        <v>117</v>
      </c>
    </row>
    <row r="4">
      <c r="A4" s="2" t="n">
        <v>3</v>
      </c>
      <c r="B4" s="2" t="inlineStr">
        <is>
          <t>DxM1hfY8FQ8dNGrucuJzhJcF8KRbjk8WBwrgKvQ9spPv</t>
        </is>
      </c>
      <c r="C4" s="2" t="inlineStr">
        <is>
          <t>fomo</t>
        </is>
      </c>
      <c r="D4" s="2" t="inlineStr">
        <is>
          <t>RC</t>
        </is>
      </c>
      <c r="E4" s="8" t="n">
        <v>3368.07</v>
      </c>
      <c r="F4" s="8" t="n">
        <v>0</v>
      </c>
      <c r="G4" s="8" t="n">
        <v>3368.07</v>
      </c>
      <c r="H4" s="2" t="n">
        <v>0</v>
      </c>
      <c r="I4" s="8" t="n">
        <v>0</v>
      </c>
      <c r="J4" s="8" t="n">
        <v>3368.07</v>
      </c>
      <c r="K4" s="2" t="n">
        <v>0</v>
      </c>
      <c r="L4" s="2" t="n">
        <v>1</v>
      </c>
      <c r="M4" s="2" t="inlineStr">
        <is>
          <t>2026-09-13T14:02:39Z</t>
        </is>
      </c>
      <c r="N4" s="2" t="inlineStr">
        <is>
          <t>2026-09-13T14:02:39Z</t>
        </is>
      </c>
      <c r="P4" s="2" t="n">
        <v>0</v>
      </c>
      <c r="Q4" s="8" t="n">
        <v>0</v>
      </c>
      <c r="R4" s="8" t="n">
        <v>668167.15</v>
      </c>
      <c r="S4" s="2" t="n">
        <v>4371</v>
      </c>
      <c r="T4" s="2" t="n">
        <v>1225</v>
      </c>
    </row>
    <row r="5">
      <c r="A5" s="2" t="n">
        <v>4</v>
      </c>
      <c r="B5" s="2" t="inlineStr">
        <is>
          <t>Grxv8ZJXoeEijZf1GHmMzApoq8Z6TneXhgF6ydgLANd3</t>
        </is>
      </c>
      <c r="C5" s="2" t="inlineStr">
        <is>
          <t>pumpfun-app</t>
        </is>
      </c>
      <c r="D5" s="2" t="inlineStr">
        <is>
          <t>tobyyyyxx</t>
        </is>
      </c>
      <c r="E5" s="8" t="n">
        <v>1844.09</v>
      </c>
      <c r="F5" s="8" t="n">
        <v>0</v>
      </c>
      <c r="G5" s="8" t="n">
        <v>1844.09</v>
      </c>
      <c r="H5" s="2" t="n">
        <v>183.91</v>
      </c>
      <c r="I5" s="8" t="n">
        <v>1002.74</v>
      </c>
      <c r="J5" s="8" t="n">
        <v>2846.82</v>
      </c>
      <c r="K5" s="2" t="n">
        <v>5</v>
      </c>
      <c r="L5" s="2" t="n">
        <v>35</v>
      </c>
      <c r="M5" s="2" t="inlineStr">
        <is>
          <t>2026-09-13T08:22:51Z</t>
        </is>
      </c>
      <c r="N5" s="2" t="inlineStr">
        <is>
          <t>2026-09-13T13:32:01Z</t>
        </is>
      </c>
      <c r="O5" s="2" t="n">
        <v>2760647</v>
      </c>
      <c r="P5" s="2" t="n">
        <v>6.984919999999999e-10</v>
      </c>
      <c r="Q5" s="8" t="n">
        <v>0</v>
      </c>
      <c r="R5" s="8" t="n">
        <v>-5494.21</v>
      </c>
      <c r="S5" s="2" t="n">
        <v>6991</v>
      </c>
      <c r="T5" s="2" t="n">
        <v>1632</v>
      </c>
    </row>
    <row r="6">
      <c r="A6" s="2" t="n">
        <v>5</v>
      </c>
      <c r="B6" s="2" t="inlineStr">
        <is>
          <t>6eZDCJSLfqDn8wK7quMp5nNg6dnfCZLDETXb4TQyA3Vn</t>
        </is>
      </c>
      <c r="C6" s="2" t="inlineStr">
        <is>
          <t>gmgn</t>
        </is>
      </c>
      <c r="E6" s="8" t="n">
        <v>1294.27</v>
      </c>
      <c r="F6" s="8" t="n">
        <v>0</v>
      </c>
      <c r="G6" s="8" t="n">
        <v>1294.27</v>
      </c>
      <c r="H6" s="2" t="n">
        <v>0</v>
      </c>
      <c r="I6" s="8" t="n">
        <v>0</v>
      </c>
      <c r="J6" s="8" t="n">
        <v>1294.27</v>
      </c>
      <c r="K6" s="2" t="n">
        <v>0</v>
      </c>
      <c r="L6" s="2" t="n">
        <v>7</v>
      </c>
      <c r="M6" s="2" t="inlineStr">
        <is>
          <t>2026-09-13T09:02:15Z</t>
        </is>
      </c>
      <c r="N6" s="2" t="inlineStr">
        <is>
          <t>2026-09-13T09:41:41Z</t>
        </is>
      </c>
      <c r="P6" s="2" t="n">
        <v>0</v>
      </c>
      <c r="Q6" s="8" t="n">
        <v>0</v>
      </c>
      <c r="R6" s="8" t="n">
        <v>51035.11</v>
      </c>
      <c r="S6" s="2" t="n">
        <v>10702</v>
      </c>
      <c r="T6" s="2" t="n">
        <v>2493</v>
      </c>
    </row>
    <row r="7">
      <c r="A7" s="2" t="n">
        <v>6</v>
      </c>
      <c r="B7" s="2" t="inlineStr">
        <is>
          <t>Ekzeu68uMstaYDT6CWnr5zDoskDbdv7qeGzW4fj4z3XJ</t>
        </is>
      </c>
      <c r="E7" s="8" t="n">
        <v>1218.45</v>
      </c>
      <c r="F7" s="8" t="n">
        <v>-64.51000000000001</v>
      </c>
      <c r="G7" s="8" t="n">
        <v>1153.94</v>
      </c>
      <c r="H7" s="2" t="n">
        <v>138.58</v>
      </c>
      <c r="I7" s="8" t="n">
        <v>832.6900000000001</v>
      </c>
      <c r="J7" s="8" t="n">
        <v>1969.28</v>
      </c>
      <c r="K7" s="2" t="n">
        <v>1</v>
      </c>
      <c r="L7" s="2" t="n">
        <v>9</v>
      </c>
      <c r="M7" s="2" t="inlineStr">
        <is>
          <t>2026-09-13T08:11:29Z</t>
        </is>
      </c>
      <c r="N7" s="2" t="inlineStr">
        <is>
          <t>2026-09-13T15:08:06Z</t>
        </is>
      </c>
      <c r="O7" s="2" t="n">
        <v>2761329</v>
      </c>
      <c r="P7" s="2" t="n">
        <v>3228350.528483</v>
      </c>
      <c r="Q7" s="8" t="n">
        <v>17.34</v>
      </c>
      <c r="R7" s="8" t="n">
        <v>65007.59</v>
      </c>
      <c r="S7" s="2" t="n">
        <v>620</v>
      </c>
      <c r="T7" s="2" t="n">
        <v>182</v>
      </c>
    </row>
    <row r="8">
      <c r="A8" s="2" t="n">
        <v>7</v>
      </c>
      <c r="B8" s="2" t="inlineStr">
        <is>
          <t>5WXdKS7mAEdcjNnLXUH2E71bRkCJR3zsZKzQ1YyeC8ed</t>
        </is>
      </c>
      <c r="E8" s="8" t="n">
        <v>1195.28</v>
      </c>
      <c r="F8" s="8" t="n">
        <v>0</v>
      </c>
      <c r="G8" s="8" t="n">
        <v>1195.28</v>
      </c>
      <c r="H8" s="2" t="n">
        <v>0</v>
      </c>
      <c r="I8" s="8" t="n">
        <v>0</v>
      </c>
      <c r="J8" s="8" t="n">
        <v>1195.28</v>
      </c>
      <c r="K8" s="2" t="n">
        <v>0</v>
      </c>
      <c r="L8" s="2" t="n">
        <v>4</v>
      </c>
      <c r="M8" s="2" t="inlineStr">
        <is>
          <t>2026-09-13T13:13:35Z</t>
        </is>
      </c>
      <c r="N8" s="2" t="inlineStr">
        <is>
          <t>2026-09-13T14:32:11Z</t>
        </is>
      </c>
      <c r="P8" s="2" t="n">
        <v>0</v>
      </c>
      <c r="Q8" s="8" t="n">
        <v>0</v>
      </c>
      <c r="R8" s="8" t="n">
        <v>1264.22</v>
      </c>
      <c r="S8" s="2" t="n">
        <v>7</v>
      </c>
      <c r="T8" s="2" t="n">
        <v>2</v>
      </c>
    </row>
    <row r="9">
      <c r="A9" s="2" t="n">
        <v>8</v>
      </c>
      <c r="B9" s="2" t="inlineStr">
        <is>
          <t>FKsGmsFcGGGEzyacAZQhK4E4R49r3VZFufPsFQJ9aaRn</t>
        </is>
      </c>
      <c r="E9" s="8" t="n">
        <v>1185.83</v>
      </c>
      <c r="F9" s="8" t="n">
        <v>0</v>
      </c>
      <c r="G9" s="8" t="n">
        <v>1185.83</v>
      </c>
      <c r="H9" s="2" t="n">
        <v>73.81999999999999</v>
      </c>
      <c r="I9" s="8" t="n">
        <v>1606.34</v>
      </c>
      <c r="J9" s="8" t="n">
        <v>2792.17</v>
      </c>
      <c r="K9" s="2" t="n">
        <v>6</v>
      </c>
      <c r="L9" s="2" t="n">
        <v>4</v>
      </c>
      <c r="M9" s="2" t="inlineStr">
        <is>
          <t>2026-09-13T08:34:20Z</t>
        </is>
      </c>
      <c r="N9" s="2" t="inlineStr">
        <is>
          <t>2026-09-13T13:11:48Z</t>
        </is>
      </c>
      <c r="O9" s="2" t="n">
        <v>16649</v>
      </c>
      <c r="P9" s="2" t="n">
        <v>0</v>
      </c>
      <c r="Q9" s="8" t="n">
        <v>0</v>
      </c>
      <c r="R9" s="8" t="n">
        <v>1483.86</v>
      </c>
      <c r="S9" s="2" t="n">
        <v>416</v>
      </c>
      <c r="T9" s="2" t="n">
        <v>67</v>
      </c>
    </row>
    <row r="10">
      <c r="A10" s="2" t="n">
        <v>9</v>
      </c>
      <c r="B10" s="2" t="inlineStr">
        <is>
          <t>LqXmtrsfMR18UV9LzbEEvdc4aNRXnpTTMApDmNNKwRQ</t>
        </is>
      </c>
      <c r="E10" s="8" t="n">
        <v>1159.39</v>
      </c>
      <c r="F10" s="8" t="n">
        <v>-145.71</v>
      </c>
      <c r="G10" s="8" t="n">
        <v>1013.68</v>
      </c>
      <c r="H10" s="2" t="n">
        <v>146.59</v>
      </c>
      <c r="I10" s="8" t="n">
        <v>691.53</v>
      </c>
      <c r="J10" s="8" t="n">
        <v>1689.69</v>
      </c>
      <c r="K10" s="2" t="n">
        <v>1</v>
      </c>
      <c r="L10" s="2" t="n">
        <v>2</v>
      </c>
      <c r="M10" s="2" t="inlineStr">
        <is>
          <t>2026-09-13T08:14:43Z</t>
        </is>
      </c>
      <c r="N10" s="2" t="inlineStr">
        <is>
          <t>2026-09-13T12:45:38Z</t>
        </is>
      </c>
      <c r="O10" s="2" t="n">
        <v>2761135</v>
      </c>
      <c r="P10" s="2" t="n">
        <v>2888182.814022001</v>
      </c>
      <c r="Q10" s="8" t="n">
        <v>15.51</v>
      </c>
      <c r="R10" s="8" t="n">
        <v>-18353.79</v>
      </c>
      <c r="S10" s="2" t="n">
        <v>1529</v>
      </c>
      <c r="T10" s="2" t="n">
        <v>517</v>
      </c>
    </row>
    <row r="11">
      <c r="A11" s="2" t="n">
        <v>10</v>
      </c>
      <c r="B11" s="2" t="inlineStr">
        <is>
          <t>ATSbwqhybVct3ZGvuJFgXT4WRZ9t58tppXBWK493JjyG</t>
        </is>
      </c>
      <c r="C11" s="2" t="inlineStr">
        <is>
          <t>potential_bot;gmgn</t>
        </is>
      </c>
      <c r="E11" s="8" t="n">
        <v>1042.83</v>
      </c>
      <c r="F11" s="8" t="n">
        <v>0</v>
      </c>
      <c r="G11" s="8" t="n">
        <v>1042.83</v>
      </c>
      <c r="H11" s="2" t="n">
        <v>0</v>
      </c>
      <c r="I11" s="8" t="n">
        <v>0</v>
      </c>
      <c r="J11" s="8" t="n">
        <v>1042.83</v>
      </c>
      <c r="K11" s="2" t="n">
        <v>0</v>
      </c>
      <c r="L11" s="2" t="n">
        <v>8</v>
      </c>
      <c r="M11" s="2" t="inlineStr">
        <is>
          <t>2026-09-13T08:39:35Z</t>
        </is>
      </c>
      <c r="N11" s="2" t="inlineStr">
        <is>
          <t>2026-09-13T14:33:55Z</t>
        </is>
      </c>
      <c r="P11" s="2" t="n">
        <v>0</v>
      </c>
      <c r="Q11" s="8" t="n">
        <v>0</v>
      </c>
      <c r="R11" s="8" t="n">
        <v>24294.59</v>
      </c>
      <c r="S11" s="2" t="n">
        <v>878</v>
      </c>
      <c r="T11" s="2" t="n">
        <v>223</v>
      </c>
    </row>
    <row r="12">
      <c r="A12" s="2" t="n">
        <v>11</v>
      </c>
      <c r="B12" s="2" t="inlineStr">
        <is>
          <t>FU9HTSt7ubjmZQfqkNNfCJqv9deNvDPgX2oWGe6zBybk</t>
        </is>
      </c>
      <c r="E12" s="8" t="n">
        <v>965.24</v>
      </c>
      <c r="F12" s="8" t="n">
        <v>0</v>
      </c>
      <c r="G12" s="8" t="n">
        <v>965.24</v>
      </c>
      <c r="H12" s="2" t="n">
        <v>382.81</v>
      </c>
      <c r="I12" s="8" t="n">
        <v>252.15</v>
      </c>
      <c r="J12" s="8" t="n">
        <v>1217.39</v>
      </c>
      <c r="K12" s="2" t="n">
        <v>1</v>
      </c>
      <c r="L12" s="2" t="n">
        <v>3</v>
      </c>
      <c r="M12" s="2" t="inlineStr">
        <is>
          <t>2026-09-13T07:45:52Z</t>
        </is>
      </c>
      <c r="N12" s="2" t="inlineStr">
        <is>
          <t>2026-09-13T08:47:01Z</t>
        </is>
      </c>
      <c r="O12" s="2" t="n">
        <v>2762866</v>
      </c>
      <c r="P12" s="2" t="n">
        <v>3.72529e-09</v>
      </c>
      <c r="Q12" s="8" t="n">
        <v>0</v>
      </c>
      <c r="R12" s="8" t="n">
        <v>229.68</v>
      </c>
      <c r="S12" s="2" t="n">
        <v>30</v>
      </c>
      <c r="T12" s="2" t="n">
        <v>9</v>
      </c>
    </row>
    <row r="13">
      <c r="A13" s="2" t="n">
        <v>12</v>
      </c>
      <c r="B13" s="2" t="inlineStr">
        <is>
          <t>8soA2giybHCRss5cQE56DVtpy8cMczBUaPaSD7UU586C</t>
        </is>
      </c>
      <c r="E13" s="8" t="n">
        <v>940.9400000000001</v>
      </c>
      <c r="F13" s="8" t="n">
        <v>0</v>
      </c>
      <c r="G13" s="8" t="n">
        <v>940.9400000000001</v>
      </c>
      <c r="H13" s="2" t="n">
        <v>1846.79</v>
      </c>
      <c r="I13" s="8" t="n">
        <v>50.95</v>
      </c>
      <c r="J13" s="8" t="n">
        <v>991.89</v>
      </c>
      <c r="K13" s="2" t="n">
        <v>1</v>
      </c>
      <c r="L13" s="2" t="n">
        <v>5</v>
      </c>
      <c r="M13" s="2" t="inlineStr">
        <is>
          <t>2026-09-13T07:35:54Z</t>
        </is>
      </c>
      <c r="N13" s="2" t="inlineStr">
        <is>
          <t>2026-09-13T13:50:31Z</t>
        </is>
      </c>
      <c r="O13" s="2" t="n">
        <v>22477</v>
      </c>
      <c r="P13" s="2" t="n">
        <v>0</v>
      </c>
      <c r="Q13" s="8" t="n">
        <v>0</v>
      </c>
      <c r="R13" s="8" t="n">
        <v>-18774.62</v>
      </c>
      <c r="S13" s="2" t="n">
        <v>4509</v>
      </c>
      <c r="T13" s="2" t="n">
        <v>1580</v>
      </c>
    </row>
    <row r="14">
      <c r="A14" s="2" t="n">
        <v>13</v>
      </c>
      <c r="B14" s="2" t="inlineStr">
        <is>
          <t>39YKPcT5FhodRGZdCGGBRsHWttXL2gc7VwJsdsWp8teo</t>
        </is>
      </c>
      <c r="E14" s="8" t="n">
        <v>939.97</v>
      </c>
      <c r="F14" s="8" t="n">
        <v>0</v>
      </c>
      <c r="G14" s="8" t="n">
        <v>939.97</v>
      </c>
      <c r="H14" s="2" t="n">
        <v>0</v>
      </c>
      <c r="I14" s="8" t="n">
        <v>0</v>
      </c>
      <c r="J14" s="8" t="n">
        <v>939.97</v>
      </c>
      <c r="K14" s="2" t="n">
        <v>0</v>
      </c>
      <c r="L14" s="2" t="n">
        <v>1</v>
      </c>
      <c r="M14" s="2" t="inlineStr">
        <is>
          <t>2026-09-13T14:32:11Z</t>
        </is>
      </c>
      <c r="N14" s="2" t="inlineStr">
        <is>
          <t>2026-09-13T14:32:11Z</t>
        </is>
      </c>
      <c r="P14" s="2" t="n">
        <v>0</v>
      </c>
      <c r="Q14" s="8" t="n">
        <v>0</v>
      </c>
      <c r="R14" s="8" t="n">
        <v>1146.17</v>
      </c>
      <c r="S14" s="2" t="n">
        <v>6</v>
      </c>
      <c r="T14" s="2" t="n">
        <v>2</v>
      </c>
    </row>
    <row r="15">
      <c r="A15" s="2" t="n">
        <v>14</v>
      </c>
      <c r="B15" s="2" t="inlineStr">
        <is>
          <t>TLyCMWKeN8JLmx7pnq7zibUcQX2bcZw9kCihWbUuNqF</t>
        </is>
      </c>
      <c r="C15" s="2" t="inlineStr">
        <is>
          <t>pumpfun-app</t>
        </is>
      </c>
      <c r="D15" s="2" t="inlineStr">
        <is>
          <t>bluribbon</t>
        </is>
      </c>
      <c r="E15" s="8" t="n">
        <v>893.23</v>
      </c>
      <c r="F15" s="8" t="n">
        <v>0</v>
      </c>
      <c r="G15" s="8" t="n">
        <v>893.23</v>
      </c>
      <c r="H15" s="2" t="n">
        <v>151.8</v>
      </c>
      <c r="I15" s="8" t="n">
        <v>588.4400000000001</v>
      </c>
      <c r="J15" s="8" t="n">
        <v>1481.67</v>
      </c>
      <c r="K15" s="2" t="n">
        <v>4</v>
      </c>
      <c r="L15" s="2" t="n">
        <v>2</v>
      </c>
      <c r="M15" s="2" t="inlineStr">
        <is>
          <t>2026-09-13T08:32:19Z</t>
        </is>
      </c>
      <c r="N15" s="2" t="inlineStr">
        <is>
          <t>2026-09-13T14:01:34Z</t>
        </is>
      </c>
      <c r="O15" s="2" t="n">
        <v>2760079</v>
      </c>
      <c r="P15" s="2" t="n">
        <v>4.65661e-10</v>
      </c>
      <c r="Q15" s="8" t="n">
        <v>0</v>
      </c>
      <c r="R15" s="8" t="n">
        <v>-100776.31</v>
      </c>
      <c r="S15" s="2" t="n">
        <v>11117</v>
      </c>
      <c r="T15" s="2" t="n">
        <v>2887</v>
      </c>
    </row>
    <row r="16">
      <c r="A16" s="2" t="n">
        <v>15</v>
      </c>
      <c r="B16" s="2" t="inlineStr">
        <is>
          <t>4hBBhpb85HZj2MnF4QbKKQa8MWTAVCXbnndEeV38b1Ck</t>
        </is>
      </c>
      <c r="E16" s="8" t="n">
        <v>866.5599999999999</v>
      </c>
      <c r="F16" s="8" t="n">
        <v>0</v>
      </c>
      <c r="G16" s="8" t="n">
        <v>866.5599999999999</v>
      </c>
      <c r="H16" s="2" t="n">
        <v>78.12</v>
      </c>
      <c r="I16" s="8" t="n">
        <v>1109.31</v>
      </c>
      <c r="J16" s="8" t="n">
        <v>1975.87</v>
      </c>
      <c r="K16" s="2" t="n">
        <v>6</v>
      </c>
      <c r="L16" s="2" t="n">
        <v>2</v>
      </c>
      <c r="M16" s="2" t="inlineStr">
        <is>
          <t>2026-09-13T08:21:38Z</t>
        </is>
      </c>
      <c r="N16" s="2" t="inlineStr">
        <is>
          <t>2026-09-13T10:33:14Z</t>
        </is>
      </c>
      <c r="O16" s="2" t="n">
        <v>2760720</v>
      </c>
      <c r="P16" s="2" t="n">
        <v>9.31323e-10</v>
      </c>
      <c r="Q16" s="8" t="n">
        <v>0</v>
      </c>
      <c r="R16" s="8" t="n">
        <v>224.7</v>
      </c>
      <c r="S16" s="2" t="n">
        <v>333</v>
      </c>
      <c r="T16" s="2" t="n">
        <v>86</v>
      </c>
    </row>
    <row r="17">
      <c r="A17" s="2" t="n">
        <v>16</v>
      </c>
      <c r="B17" s="2" t="inlineStr">
        <is>
          <t>FKMYs75o955DVxkNuE78xEVTBvnnpKcimPfQE96QfoVh</t>
        </is>
      </c>
      <c r="C17" s="2" t="inlineStr">
        <is>
          <t>gmgn</t>
        </is>
      </c>
      <c r="E17" s="8" t="n">
        <v>853.14</v>
      </c>
      <c r="F17" s="8" t="n">
        <v>0</v>
      </c>
      <c r="G17" s="8" t="n">
        <v>853.14</v>
      </c>
      <c r="H17" s="2" t="n">
        <v>0</v>
      </c>
      <c r="I17" s="8" t="n">
        <v>0</v>
      </c>
      <c r="J17" s="8" t="n">
        <v>853.14</v>
      </c>
      <c r="K17" s="2" t="n">
        <v>0</v>
      </c>
      <c r="L17" s="2" t="n">
        <v>7</v>
      </c>
      <c r="M17" s="2" t="inlineStr">
        <is>
          <t>2026-09-13T09:02:07Z</t>
        </is>
      </c>
      <c r="N17" s="2" t="inlineStr">
        <is>
          <t>2026-09-13T14:33:55Z</t>
        </is>
      </c>
      <c r="P17" s="2" t="n">
        <v>0</v>
      </c>
      <c r="Q17" s="8" t="n">
        <v>0</v>
      </c>
      <c r="R17" s="8" t="n">
        <v>137507.33</v>
      </c>
      <c r="S17" s="2" t="n">
        <v>4124</v>
      </c>
      <c r="T17" s="2" t="n">
        <v>901</v>
      </c>
    </row>
    <row r="18">
      <c r="A18" s="2" t="n">
        <v>17</v>
      </c>
      <c r="B18" s="2" t="inlineStr">
        <is>
          <t>FtVq2huUhU33TNmEbmEQb4kwDEfZeU9tFvBgk7mwWnBx</t>
        </is>
      </c>
      <c r="C18" s="2" t="inlineStr">
        <is>
          <t>potential_bot;pumpfun-app</t>
        </is>
      </c>
      <c r="D18" s="2" t="inlineStr">
        <is>
          <t>7etsuo</t>
        </is>
      </c>
      <c r="E18" s="8" t="n">
        <v>831.39</v>
      </c>
      <c r="F18" s="8" t="n">
        <v>0</v>
      </c>
      <c r="G18" s="8" t="n">
        <v>831.39</v>
      </c>
      <c r="H18" s="2" t="n">
        <v>412.94</v>
      </c>
      <c r="I18" s="8" t="n">
        <v>201.33</v>
      </c>
      <c r="J18" s="8" t="n">
        <v>1032.72</v>
      </c>
      <c r="K18" s="2" t="n">
        <v>1</v>
      </c>
      <c r="L18" s="2" t="n">
        <v>1</v>
      </c>
      <c r="M18" s="2" t="inlineStr">
        <is>
          <t>2026-09-13T08:11:29Z</t>
        </is>
      </c>
      <c r="N18" s="2" t="inlineStr">
        <is>
          <t>2026-09-13T19:04:16Z</t>
        </is>
      </c>
      <c r="O18" s="2" t="n">
        <v>39167</v>
      </c>
      <c r="P18" s="2" t="n">
        <v>0</v>
      </c>
      <c r="Q18" s="8" t="n">
        <v>0</v>
      </c>
      <c r="R18" s="8" t="n">
        <v>77863.64</v>
      </c>
      <c r="S18" s="2" t="n">
        <v>599</v>
      </c>
      <c r="T18" s="2" t="n">
        <v>168</v>
      </c>
    </row>
    <row r="19">
      <c r="A19" s="2" t="n">
        <v>18</v>
      </c>
      <c r="B19" s="2" t="inlineStr">
        <is>
          <t>FF7t45CEWtZ4Qdqx1FDipJrLTw99DKNtvMKs1JksH366</t>
        </is>
      </c>
      <c r="E19" s="8" t="n">
        <v>827.01</v>
      </c>
      <c r="F19" s="8" t="n">
        <v>0</v>
      </c>
      <c r="G19" s="8" t="n">
        <v>827.01</v>
      </c>
      <c r="H19" s="2" t="n">
        <v>214.57</v>
      </c>
      <c r="I19" s="8" t="n">
        <v>385.42</v>
      </c>
      <c r="J19" s="8" t="n">
        <v>1212.42</v>
      </c>
      <c r="K19" s="2" t="n">
        <v>19</v>
      </c>
      <c r="L19" s="2" t="n">
        <v>22</v>
      </c>
      <c r="M19" s="2" t="inlineStr">
        <is>
          <t>2026-09-13T08:00:05Z</t>
        </is>
      </c>
      <c r="N19" s="2" t="inlineStr">
        <is>
          <t>2026-09-14T21:45:18Z</t>
        </is>
      </c>
      <c r="O19" s="2" t="n">
        <v>2762013</v>
      </c>
      <c r="P19" s="2" t="n">
        <v>9.31323e-10</v>
      </c>
      <c r="Q19" s="8" t="n">
        <v>0</v>
      </c>
      <c r="R19" s="8" t="n">
        <v>-658.23</v>
      </c>
      <c r="S19" s="2" t="n">
        <v>1108</v>
      </c>
      <c r="T19" s="2" t="n">
        <v>235</v>
      </c>
    </row>
    <row r="20">
      <c r="A20" s="2" t="n">
        <v>19</v>
      </c>
      <c r="B20" s="2" t="inlineStr">
        <is>
          <t>ARhmM2nJhCj3FFoSTa8dYpSADXvVi6osATxRiuJ2UfKS</t>
        </is>
      </c>
      <c r="C20" s="2" t="inlineStr">
        <is>
          <t>pumpfun-app</t>
        </is>
      </c>
      <c r="D20" s="2" t="inlineStr">
        <is>
          <t>xchad</t>
        </is>
      </c>
      <c r="E20" s="8" t="n">
        <v>809.13</v>
      </c>
      <c r="F20" s="8" t="n">
        <v>0</v>
      </c>
      <c r="G20" s="8" t="n">
        <v>809.13</v>
      </c>
      <c r="H20" s="2" t="n">
        <v>49.1</v>
      </c>
      <c r="I20" s="8" t="n">
        <v>1648.05</v>
      </c>
      <c r="J20" s="8" t="n">
        <v>2457.18</v>
      </c>
      <c r="K20" s="2" t="n">
        <v>122</v>
      </c>
      <c r="L20" s="2" t="n">
        <v>25</v>
      </c>
      <c r="M20" s="2" t="inlineStr">
        <is>
          <t>2026-09-13T08:10:07Z</t>
        </is>
      </c>
      <c r="N20" s="2" t="inlineStr">
        <is>
          <t>2026-09-13T18:22:05Z</t>
        </is>
      </c>
      <c r="O20" s="2" t="n">
        <v>2761411</v>
      </c>
      <c r="P20" s="2" t="n">
        <v>4.65661e-10</v>
      </c>
      <c r="Q20" s="8" t="n">
        <v>0</v>
      </c>
      <c r="R20" s="8" t="n">
        <v>-12162.96</v>
      </c>
      <c r="S20" s="2" t="n">
        <v>5954</v>
      </c>
      <c r="T20" s="2" t="n">
        <v>803</v>
      </c>
    </row>
    <row r="21">
      <c r="A21" s="2" t="n">
        <v>20</v>
      </c>
      <c r="B21" s="2" t="inlineStr">
        <is>
          <t>FFiocjh9LdMf8SUqgGDLkr9wiojj4dvREVpYNCy7tGav</t>
        </is>
      </c>
      <c r="E21" s="8" t="n">
        <v>791.3099999999999</v>
      </c>
      <c r="F21" s="8" t="n">
        <v>0</v>
      </c>
      <c r="G21" s="8" t="n">
        <v>791.3099999999999</v>
      </c>
      <c r="H21" s="2" t="n">
        <v>95.84999999999999</v>
      </c>
      <c r="I21" s="8" t="n">
        <v>825.61</v>
      </c>
      <c r="J21" s="8" t="n">
        <v>1616.93</v>
      </c>
      <c r="K21" s="2" t="n">
        <v>5</v>
      </c>
      <c r="L21" s="2" t="n">
        <v>8</v>
      </c>
      <c r="M21" s="2" t="inlineStr">
        <is>
          <t>2026-09-13T09:16:37Z</t>
        </is>
      </c>
      <c r="N21" s="2" t="inlineStr">
        <is>
          <t>2026-09-13T13:22:13Z</t>
        </is>
      </c>
      <c r="O21" s="2" t="n">
        <v>14736</v>
      </c>
      <c r="P21" s="2" t="n">
        <v>0</v>
      </c>
      <c r="Q21" s="8" t="n">
        <v>0</v>
      </c>
      <c r="R21" s="8" t="n">
        <v>-5551.55</v>
      </c>
      <c r="S21" s="2" t="n">
        <v>854</v>
      </c>
      <c r="T21" s="2" t="n">
        <v>158</v>
      </c>
    </row>
    <row r="22">
      <c r="A22" s="2" t="n">
        <v>21</v>
      </c>
      <c r="B22" s="2" t="inlineStr">
        <is>
          <t>953bGbJwZHcquq2aLuMb3NAxRSs5eJNdEovXTG972Uw</t>
        </is>
      </c>
      <c r="E22" s="8" t="n">
        <v>781.9299999999999</v>
      </c>
      <c r="F22" s="8" t="n">
        <v>0</v>
      </c>
      <c r="G22" s="8" t="n">
        <v>781.9299999999999</v>
      </c>
      <c r="H22" s="2" t="n">
        <v>75.95</v>
      </c>
      <c r="I22" s="8" t="n">
        <v>1029.48</v>
      </c>
      <c r="J22" s="8" t="n">
        <v>1811.4</v>
      </c>
      <c r="K22" s="2" t="n">
        <v>3</v>
      </c>
      <c r="L22" s="2" t="n">
        <v>1</v>
      </c>
      <c r="M22" s="2" t="inlineStr">
        <is>
          <t>2026-09-13T08:44:55Z</t>
        </is>
      </c>
      <c r="N22" s="2" t="inlineStr">
        <is>
          <t>2026-09-13T10:32:41Z</t>
        </is>
      </c>
      <c r="O22" s="2" t="n">
        <v>6466</v>
      </c>
      <c r="P22" s="2" t="n">
        <v>0</v>
      </c>
      <c r="Q22" s="8" t="n">
        <v>0</v>
      </c>
      <c r="R22" s="8" t="n">
        <v>-48945.25</v>
      </c>
      <c r="S22" s="2" t="n">
        <v>325</v>
      </c>
      <c r="T22" s="2" t="n">
        <v>45</v>
      </c>
    </row>
    <row r="23">
      <c r="A23" s="2" t="n">
        <v>22</v>
      </c>
      <c r="B23" s="2" t="inlineStr">
        <is>
          <t>6jJJjSDmbw8RLuHAKUmnLZVzegYHXoBLGXz7hgr3Hbzj</t>
        </is>
      </c>
      <c r="E23" s="8" t="n">
        <v>728.74</v>
      </c>
      <c r="F23" s="8" t="n">
        <v>0</v>
      </c>
      <c r="G23" s="8" t="n">
        <v>728.74</v>
      </c>
      <c r="H23" s="2" t="n">
        <v>0</v>
      </c>
      <c r="I23" s="8" t="n">
        <v>0</v>
      </c>
      <c r="J23" s="8" t="n">
        <v>728.74</v>
      </c>
      <c r="K23" s="2" t="n">
        <v>0</v>
      </c>
      <c r="L23" s="2" t="n">
        <v>1</v>
      </c>
      <c r="M23" s="2" t="inlineStr">
        <is>
          <t>2026-09-13T14:32:13Z</t>
        </is>
      </c>
      <c r="N23" s="2" t="inlineStr">
        <is>
          <t>2026-09-13T14:32:13Z</t>
        </is>
      </c>
      <c r="P23" s="2" t="n">
        <v>0</v>
      </c>
      <c r="Q23" s="8" t="n">
        <v>0</v>
      </c>
      <c r="R23" s="8" t="n">
        <v>934.3099999999999</v>
      </c>
      <c r="S23" s="2" t="n">
        <v>6</v>
      </c>
      <c r="T23" s="2" t="n">
        <v>2</v>
      </c>
    </row>
    <row r="24">
      <c r="A24" s="2" t="n">
        <v>23</v>
      </c>
      <c r="B24" s="2" t="inlineStr">
        <is>
          <t>3SouMWy94Ca3kNvusNKG5vQJqjdGVi3xmTsC8MjdGNPo</t>
        </is>
      </c>
      <c r="C24" s="2" t="inlineStr">
        <is>
          <t>potential_bot;gmgn</t>
        </is>
      </c>
      <c r="E24" s="8" t="n">
        <v>685.37</v>
      </c>
      <c r="F24" s="8" t="n">
        <v>0</v>
      </c>
      <c r="G24" s="8" t="n">
        <v>685.37</v>
      </c>
      <c r="H24" s="2" t="n">
        <v>222619.54</v>
      </c>
      <c r="I24" s="8" t="n">
        <v>0.31</v>
      </c>
      <c r="J24" s="8" t="n">
        <v>685.6799999999999</v>
      </c>
      <c r="K24" s="2" t="n">
        <v>1</v>
      </c>
      <c r="L24" s="2" t="n">
        <v>1</v>
      </c>
      <c r="M24" s="2" t="inlineStr">
        <is>
          <t>2026-09-13T08:36:08Z</t>
        </is>
      </c>
      <c r="N24" s="2" t="inlineStr">
        <is>
          <t>2026-09-13T08:38:33Z</t>
        </is>
      </c>
      <c r="O24" s="2" t="n">
        <v>146</v>
      </c>
      <c r="P24" s="2" t="n">
        <v>0</v>
      </c>
      <c r="Q24" s="8" t="n">
        <v>0</v>
      </c>
      <c r="R24" s="8" t="n">
        <v>83448.32000000001</v>
      </c>
      <c r="S24" s="2" t="n">
        <v>684</v>
      </c>
      <c r="T24" s="2" t="n">
        <v>202</v>
      </c>
    </row>
    <row r="25">
      <c r="A25" s="2" t="n">
        <v>24</v>
      </c>
      <c r="B25" s="2" t="inlineStr">
        <is>
          <t>8JsLg9cpYnjhsJAUvSJ8kEPmMSKSus3CC8aex4GzkA4u</t>
        </is>
      </c>
      <c r="C25" s="2" t="inlineStr">
        <is>
          <t>pumpfun-app</t>
        </is>
      </c>
      <c r="D25" s="2" t="inlineStr">
        <is>
          <t>beluga0x</t>
        </is>
      </c>
      <c r="E25" s="8" t="n">
        <v>662.58</v>
      </c>
      <c r="F25" s="8" t="n">
        <v>0</v>
      </c>
      <c r="G25" s="8" t="n">
        <v>662.58</v>
      </c>
      <c r="H25" s="2" t="n">
        <v>122.07</v>
      </c>
      <c r="I25" s="8" t="n">
        <v>542.8099999999999</v>
      </c>
      <c r="J25" s="8" t="n">
        <v>1205.39</v>
      </c>
      <c r="K25" s="2" t="n">
        <v>7</v>
      </c>
      <c r="L25" s="2" t="n">
        <v>12</v>
      </c>
      <c r="M25" s="2" t="inlineStr">
        <is>
          <t>2026-09-13T07:42:26Z</t>
        </is>
      </c>
      <c r="N25" s="2" t="inlineStr">
        <is>
          <t>2026-09-13T19:11:14Z</t>
        </is>
      </c>
      <c r="O25" s="2" t="n">
        <v>41328</v>
      </c>
      <c r="P25" s="2" t="n">
        <v>0</v>
      </c>
      <c r="Q25" s="8" t="n">
        <v>0</v>
      </c>
      <c r="R25" s="8" t="n">
        <v>696.76</v>
      </c>
      <c r="S25" s="2" t="n">
        <v>1267</v>
      </c>
      <c r="T25" s="2" t="n">
        <v>355</v>
      </c>
    </row>
    <row r="26">
      <c r="A26" s="2" t="n">
        <v>25</v>
      </c>
      <c r="B26" s="2" t="inlineStr">
        <is>
          <t>Fy5uZbH8H6SpSpaVxAHmfdGtftRzhDUjaETgZFgB4DzB</t>
        </is>
      </c>
      <c r="E26" s="8" t="n">
        <v>650.52</v>
      </c>
      <c r="F26" s="8" t="n">
        <v>0</v>
      </c>
      <c r="G26" s="8" t="n">
        <v>650.52</v>
      </c>
      <c r="H26" s="2" t="n">
        <v>130.24</v>
      </c>
      <c r="I26" s="8" t="n">
        <v>499.46</v>
      </c>
      <c r="J26" s="8" t="n">
        <v>1149.98</v>
      </c>
      <c r="K26" s="2" t="n">
        <v>1</v>
      </c>
      <c r="L26" s="2" t="n">
        <v>1</v>
      </c>
      <c r="M26" s="2" t="inlineStr">
        <is>
          <t>2026-09-13T08:31:35Z</t>
        </is>
      </c>
      <c r="N26" s="2" t="inlineStr">
        <is>
          <t>2026-09-13T12:52:01Z</t>
        </is>
      </c>
      <c r="O26" s="2" t="n">
        <v>15626</v>
      </c>
      <c r="P26" s="2" t="n">
        <v>0</v>
      </c>
      <c r="Q26" s="8" t="n">
        <v>0</v>
      </c>
      <c r="R26" s="8" t="n">
        <v>-11416.35</v>
      </c>
      <c r="S26" s="2" t="n">
        <v>152</v>
      </c>
      <c r="T26" s="2" t="n">
        <v>42</v>
      </c>
    </row>
    <row r="27">
      <c r="A27" s="2" t="n">
        <v>26</v>
      </c>
      <c r="B27" s="2" t="inlineStr">
        <is>
          <t>7Rh2G7dqdjStyJMnobuyaTkj9x31WDHR2M7Hc1GHWoff</t>
        </is>
      </c>
      <c r="C27" s="2" t="inlineStr">
        <is>
          <t>potential_bot;gmgn</t>
        </is>
      </c>
      <c r="E27" s="8" t="n">
        <v>639.88</v>
      </c>
      <c r="F27" s="8" t="n">
        <v>0</v>
      </c>
      <c r="G27" s="8" t="n">
        <v>639.88</v>
      </c>
      <c r="H27" s="2" t="n">
        <v>0</v>
      </c>
      <c r="I27" s="8" t="n">
        <v>0</v>
      </c>
      <c r="J27" s="8" t="n">
        <v>639.88</v>
      </c>
      <c r="K27" s="2" t="n">
        <v>0</v>
      </c>
      <c r="L27" s="2" t="n">
        <v>7</v>
      </c>
      <c r="M27" s="2" t="inlineStr">
        <is>
          <t>2026-09-13T09:02:07Z</t>
        </is>
      </c>
      <c r="N27" s="2" t="inlineStr">
        <is>
          <t>2026-09-13T14:33:55Z</t>
        </is>
      </c>
      <c r="P27" s="2" t="n">
        <v>0</v>
      </c>
      <c r="Q27" s="8" t="n">
        <v>0</v>
      </c>
      <c r="R27" s="8" t="n">
        <v>123520.8</v>
      </c>
      <c r="S27" s="2" t="n">
        <v>3656</v>
      </c>
      <c r="T27" s="2" t="n">
        <v>868</v>
      </c>
    </row>
    <row r="28">
      <c r="A28" s="2" t="n">
        <v>27</v>
      </c>
      <c r="B28" s="2" t="inlineStr">
        <is>
          <t>5zXdgRiCtDEH787tos5K6q2iJ4jKBdmBJvHu3KkW6crR</t>
        </is>
      </c>
      <c r="C28" s="2" t="inlineStr">
        <is>
          <t>pumpfun-app</t>
        </is>
      </c>
      <c r="D28" s="2" t="inlineStr">
        <is>
          <t>ragnarlodbroken</t>
        </is>
      </c>
      <c r="E28" s="8" t="n">
        <v>631.54</v>
      </c>
      <c r="F28" s="8" t="n">
        <v>0</v>
      </c>
      <c r="G28" s="8" t="n">
        <v>631.54</v>
      </c>
      <c r="H28" s="2" t="n">
        <v>228.17</v>
      </c>
      <c r="I28" s="8" t="n">
        <v>276.79</v>
      </c>
      <c r="J28" s="8" t="n">
        <v>908.3200000000001</v>
      </c>
      <c r="K28" s="2" t="n">
        <v>4</v>
      </c>
      <c r="L28" s="2" t="n">
        <v>2</v>
      </c>
      <c r="M28" s="2" t="inlineStr">
        <is>
          <t>2026-09-13T07:37:27Z</t>
        </is>
      </c>
      <c r="N28" s="2" t="inlineStr">
        <is>
          <t>2026-09-13T08:42:46Z</t>
        </is>
      </c>
      <c r="O28" s="2" t="n">
        <v>3918</v>
      </c>
      <c r="P28" s="2" t="n">
        <v>0</v>
      </c>
      <c r="Q28" s="8" t="n">
        <v>0</v>
      </c>
      <c r="R28" s="8" t="n">
        <v>-4743.23</v>
      </c>
      <c r="S28" s="2" t="n">
        <v>19077</v>
      </c>
      <c r="T28" s="2" t="n">
        <v>6629</v>
      </c>
    </row>
    <row r="29">
      <c r="A29" s="2" t="n">
        <v>28</v>
      </c>
      <c r="B29" s="2" t="inlineStr">
        <is>
          <t>DM3fvx4gryu2hAd9ioXJHVJARVTVjb1GyZtKdmmUzLs8</t>
        </is>
      </c>
      <c r="E29" s="8" t="n">
        <v>589.71</v>
      </c>
      <c r="F29" s="8" t="n">
        <v>0</v>
      </c>
      <c r="G29" s="8" t="n">
        <v>589.71</v>
      </c>
      <c r="H29" s="2" t="n">
        <v>0</v>
      </c>
      <c r="I29" s="8" t="n">
        <v>0</v>
      </c>
      <c r="J29" s="8" t="n">
        <v>589.71</v>
      </c>
      <c r="K29" s="2" t="n">
        <v>0</v>
      </c>
      <c r="L29" s="2" t="n">
        <v>2</v>
      </c>
      <c r="M29" s="2" t="inlineStr">
        <is>
          <t>2026-09-13T14:33:40Z</t>
        </is>
      </c>
      <c r="N29" s="2" t="inlineStr">
        <is>
          <t>2026-09-13T14:33:55Z</t>
        </is>
      </c>
      <c r="P29" s="2" t="n">
        <v>0</v>
      </c>
      <c r="Q29" s="8" t="n">
        <v>0</v>
      </c>
      <c r="R29" s="8" t="n">
        <v>4904.33</v>
      </c>
      <c r="S29" s="2" t="n">
        <v>160</v>
      </c>
      <c r="T29" s="2" t="n">
        <v>44</v>
      </c>
    </row>
    <row r="30">
      <c r="A30" s="2" t="n">
        <v>29</v>
      </c>
      <c r="B30" s="2" t="inlineStr">
        <is>
          <t>HpMaoDF8BNbQFPgoPQNUeJkcruAGzccDGBiUJ5mRkQWF</t>
        </is>
      </c>
      <c r="C30" s="2" t="inlineStr">
        <is>
          <t>pumpfun-app</t>
        </is>
      </c>
      <c r="D30" s="2" t="inlineStr">
        <is>
          <t>joelv</t>
        </is>
      </c>
      <c r="E30" s="8" t="n">
        <v>578.24</v>
      </c>
      <c r="F30" s="8" t="n">
        <v>0</v>
      </c>
      <c r="G30" s="8" t="n">
        <v>578.24</v>
      </c>
      <c r="H30" s="2" t="n">
        <v>41.34</v>
      </c>
      <c r="I30" s="8" t="n">
        <v>1398.78</v>
      </c>
      <c r="J30" s="8" t="n">
        <v>1977.02</v>
      </c>
      <c r="K30" s="2" t="n">
        <v>6</v>
      </c>
      <c r="L30" s="2" t="n">
        <v>3</v>
      </c>
      <c r="M30" s="2" t="inlineStr">
        <is>
          <t>2026-09-13T08:49:13Z</t>
        </is>
      </c>
      <c r="N30" s="2" t="inlineStr">
        <is>
          <t>2026-09-13T11:55:52Z</t>
        </is>
      </c>
      <c r="O30" s="2" t="n">
        <v>11199</v>
      </c>
      <c r="P30" s="2" t="n">
        <v>0</v>
      </c>
      <c r="Q30" s="8" t="n">
        <v>0</v>
      </c>
      <c r="R30" s="8" t="n">
        <v>-2665.97</v>
      </c>
      <c r="S30" s="2" t="n">
        <v>9245</v>
      </c>
      <c r="T30" s="2" t="n">
        <v>2761</v>
      </c>
    </row>
    <row r="31">
      <c r="A31" s="2" t="n">
        <v>30</v>
      </c>
      <c r="B31" s="2" t="inlineStr">
        <is>
          <t>7R5zUfRaWaTLVLCipq2XEpe7XdK8EQYircJt6Cm1UCbY</t>
        </is>
      </c>
      <c r="C31" s="2" t="inlineStr">
        <is>
          <t>pumpfun-app</t>
        </is>
      </c>
      <c r="D31" s="2" t="inlineStr">
        <is>
          <t>BarryBonder</t>
        </is>
      </c>
      <c r="E31" s="8" t="n">
        <v>577.67</v>
      </c>
      <c r="F31" s="8" t="n">
        <v>0</v>
      </c>
      <c r="G31" s="8" t="n">
        <v>577.67</v>
      </c>
      <c r="H31" s="2" t="n">
        <v>90.15000000000001</v>
      </c>
      <c r="I31" s="8" t="n">
        <v>640.76</v>
      </c>
      <c r="J31" s="8" t="n">
        <v>1218.43</v>
      </c>
      <c r="K31" s="2" t="n">
        <v>8</v>
      </c>
      <c r="L31" s="2" t="n">
        <v>3</v>
      </c>
      <c r="M31" s="2" t="inlineStr">
        <is>
          <t>2026-09-13T08:54:30Z</t>
        </is>
      </c>
      <c r="N31" s="2" t="inlineStr">
        <is>
          <t>2026-09-14T11:38:00Z</t>
        </is>
      </c>
      <c r="O31" s="2" t="n">
        <v>2758748</v>
      </c>
      <c r="P31" s="2" t="n">
        <v>4.65661e-10</v>
      </c>
      <c r="Q31" s="8" t="n">
        <v>0</v>
      </c>
      <c r="R31" s="8" t="n">
        <v>-2729.89</v>
      </c>
      <c r="S31" s="2" t="n">
        <v>4017</v>
      </c>
      <c r="T31" s="2" t="n">
        <v>930</v>
      </c>
    </row>
    <row r="32">
      <c r="A32" s="2" t="n">
        <v>31</v>
      </c>
      <c r="B32" s="2" t="inlineStr">
        <is>
          <t>9ab9J1hMmkgvNUpNHfNh85qrtYHAiEujyfYb2xSJhiFr</t>
        </is>
      </c>
      <c r="C32" s="2" t="inlineStr">
        <is>
          <t>fomo</t>
        </is>
      </c>
      <c r="D32" s="2" t="inlineStr">
        <is>
          <t>诶嘿嘿</t>
        </is>
      </c>
      <c r="E32" s="8" t="n">
        <v>574.74</v>
      </c>
      <c r="F32" s="8" t="n">
        <v>0</v>
      </c>
      <c r="G32" s="8" t="n">
        <v>574.74</v>
      </c>
      <c r="H32" s="2" t="n">
        <v>95.79000000000001</v>
      </c>
      <c r="I32" s="8" t="n">
        <v>600</v>
      </c>
      <c r="J32" s="8" t="n">
        <v>1174.74</v>
      </c>
      <c r="K32" s="2" t="n">
        <v>1</v>
      </c>
      <c r="L32" s="2" t="n">
        <v>1</v>
      </c>
      <c r="M32" s="2" t="inlineStr">
        <is>
          <t>2026-09-13T08:18:20Z</t>
        </is>
      </c>
      <c r="N32" s="2" t="inlineStr">
        <is>
          <t>2026-09-13T10:00:52Z</t>
        </is>
      </c>
      <c r="O32" s="2" t="n">
        <v>6152</v>
      </c>
      <c r="P32" s="2" t="n">
        <v>0</v>
      </c>
      <c r="Q32" s="8" t="n">
        <v>0</v>
      </c>
      <c r="R32" s="8" t="n">
        <v>117004.12</v>
      </c>
      <c r="S32" s="2" t="n">
        <v>794</v>
      </c>
      <c r="T32" s="2" t="n">
        <v>242</v>
      </c>
    </row>
    <row r="33">
      <c r="A33" s="2" t="n">
        <v>32</v>
      </c>
      <c r="B33" s="2" t="inlineStr">
        <is>
          <t>D73nE5DnZZkzNeuhcUL5VutxcFLobSDGWdFxkaBtsrdN</t>
        </is>
      </c>
      <c r="C33" s="2" t="inlineStr">
        <is>
          <t>gmgn</t>
        </is>
      </c>
      <c r="E33" s="8" t="n">
        <v>573.28</v>
      </c>
      <c r="F33" s="8" t="n">
        <v>0</v>
      </c>
      <c r="G33" s="8" t="n">
        <v>573.28</v>
      </c>
      <c r="H33" s="2" t="n">
        <v>139.64</v>
      </c>
      <c r="I33" s="8" t="n">
        <v>410.55</v>
      </c>
      <c r="J33" s="8" t="n">
        <v>983.8200000000001</v>
      </c>
      <c r="K33" s="2" t="n">
        <v>29</v>
      </c>
      <c r="L33" s="2" t="n">
        <v>5</v>
      </c>
      <c r="M33" s="2" t="inlineStr">
        <is>
          <t>2026-09-13T07:43:50Z</t>
        </is>
      </c>
      <c r="N33" s="2" t="inlineStr">
        <is>
          <t>2026-09-13T11:27:27Z</t>
        </is>
      </c>
      <c r="O33" s="2" t="n">
        <v>13417</v>
      </c>
      <c r="P33" s="2" t="n">
        <v>0</v>
      </c>
      <c r="Q33" s="8" t="n">
        <v>0</v>
      </c>
      <c r="R33" s="8" t="n">
        <v>-16608.46</v>
      </c>
      <c r="S33" s="2" t="n">
        <v>2138</v>
      </c>
      <c r="T33" s="2" t="n">
        <v>156</v>
      </c>
    </row>
    <row r="34">
      <c r="A34" s="2" t="n">
        <v>33</v>
      </c>
      <c r="B34" s="2" t="inlineStr">
        <is>
          <t>J1nQS7RXVSRij4S5AUdhFYYwwWxT1fdBtmJQvSfhywic</t>
        </is>
      </c>
      <c r="E34" s="8" t="n">
        <v>563.75</v>
      </c>
      <c r="F34" s="8" t="n">
        <v>0</v>
      </c>
      <c r="G34" s="8" t="n">
        <v>563.75</v>
      </c>
      <c r="H34" s="2" t="n">
        <v>28.19</v>
      </c>
      <c r="I34" s="8" t="n">
        <v>2000</v>
      </c>
      <c r="J34" s="8" t="n">
        <v>2563.75</v>
      </c>
      <c r="K34" s="2" t="n">
        <v>3</v>
      </c>
      <c r="L34" s="2" t="n">
        <v>3</v>
      </c>
      <c r="M34" s="2" t="inlineStr">
        <is>
          <t>2026-09-13T11:55:05Z</t>
        </is>
      </c>
      <c r="N34" s="2" t="inlineStr">
        <is>
          <t>2026-09-13T13:51:15Z</t>
        </is>
      </c>
      <c r="O34" s="2" t="n">
        <v>6970</v>
      </c>
      <c r="P34" s="2" t="n">
        <v>0</v>
      </c>
      <c r="Q34" s="8" t="n">
        <v>0</v>
      </c>
      <c r="R34" s="8" t="n">
        <v>136828.04</v>
      </c>
      <c r="S34" s="2" t="n">
        <v>2754</v>
      </c>
      <c r="T34" s="2" t="n">
        <v>435</v>
      </c>
    </row>
    <row r="35">
      <c r="A35" s="2" t="n">
        <v>34</v>
      </c>
      <c r="B35" s="2" t="inlineStr">
        <is>
          <t>9bwkRSXBHqdEnZYQamWwJhS5vpAitrTbqsasWx9kNyqW</t>
        </is>
      </c>
      <c r="E35" s="8" t="n">
        <v>556.8099999999999</v>
      </c>
      <c r="F35" s="8" t="n">
        <v>0</v>
      </c>
      <c r="G35" s="8" t="n">
        <v>556.8099999999999</v>
      </c>
      <c r="H35" s="2" t="n">
        <v>0</v>
      </c>
      <c r="I35" s="8" t="n">
        <v>0</v>
      </c>
      <c r="J35" s="8" t="n">
        <v>556.8099999999999</v>
      </c>
      <c r="K35" s="2" t="n">
        <v>0</v>
      </c>
      <c r="L35" s="2" t="n">
        <v>1</v>
      </c>
      <c r="M35" s="2" t="inlineStr">
        <is>
          <t>2026-09-13T12:10:06Z</t>
        </is>
      </c>
      <c r="N35" s="2" t="inlineStr">
        <is>
          <t>2026-09-13T12:10:06Z</t>
        </is>
      </c>
      <c r="P35" s="2" t="n">
        <v>0</v>
      </c>
      <c r="Q35" s="8" t="n">
        <v>0</v>
      </c>
      <c r="R35" s="8" t="n">
        <v>2560.73</v>
      </c>
      <c r="S35" s="2" t="n">
        <v>77</v>
      </c>
      <c r="T35" s="2" t="n">
        <v>36</v>
      </c>
    </row>
    <row r="36">
      <c r="A36" s="2" t="n">
        <v>35</v>
      </c>
      <c r="B36" s="2" t="inlineStr">
        <is>
          <t>4r6gppma3hAfyPgcgix1yHvQd2y4vSqajyNsWJq79Kno</t>
        </is>
      </c>
      <c r="C36" s="2" t="inlineStr">
        <is>
          <t>potential_bot</t>
        </is>
      </c>
      <c r="E36" s="8" t="n">
        <v>538.66</v>
      </c>
      <c r="F36" s="8" t="n">
        <v>0</v>
      </c>
      <c r="G36" s="8" t="n">
        <v>538.66</v>
      </c>
      <c r="H36" s="2" t="n">
        <v>26.89</v>
      </c>
      <c r="I36" s="8" t="n">
        <v>2003.31</v>
      </c>
      <c r="J36" s="8" t="n">
        <v>2541.97</v>
      </c>
      <c r="K36" s="2" t="n">
        <v>11</v>
      </c>
      <c r="L36" s="2" t="n">
        <v>2</v>
      </c>
      <c r="M36" s="2" t="inlineStr">
        <is>
          <t>2026-09-13T08:55:58Z</t>
        </is>
      </c>
      <c r="N36" s="2" t="inlineStr">
        <is>
          <t>2026-09-13T16:07:51Z</t>
        </is>
      </c>
      <c r="O36" s="2" t="n">
        <v>25914</v>
      </c>
      <c r="P36" s="2" t="n">
        <v>0</v>
      </c>
      <c r="Q36" s="8" t="n">
        <v>0</v>
      </c>
      <c r="R36" s="8" t="n">
        <v>10329.46</v>
      </c>
      <c r="S36" s="2" t="n">
        <v>500</v>
      </c>
      <c r="T36" s="2" t="n">
        <v>130</v>
      </c>
    </row>
    <row r="37">
      <c r="A37" s="2" t="n">
        <v>36</v>
      </c>
      <c r="B37" s="2" t="inlineStr">
        <is>
          <t>7RGojeY6VV5wmH8pkLGqqSupjxcFUxLrda4s72r6DZUo</t>
        </is>
      </c>
      <c r="E37" s="8" t="n">
        <v>526.75</v>
      </c>
      <c r="F37" s="8" t="n">
        <v>0</v>
      </c>
      <c r="G37" s="8" t="n">
        <v>526.75</v>
      </c>
      <c r="H37" s="2" t="n">
        <v>0</v>
      </c>
      <c r="I37" s="8" t="n">
        <v>0</v>
      </c>
      <c r="J37" s="8" t="n">
        <v>526.75</v>
      </c>
      <c r="K37" s="2" t="n">
        <v>0</v>
      </c>
      <c r="L37" s="2" t="n">
        <v>2</v>
      </c>
      <c r="M37" s="2" t="inlineStr">
        <is>
          <t>2026-09-13T14:33:40Z</t>
        </is>
      </c>
      <c r="N37" s="2" t="inlineStr">
        <is>
          <t>2026-09-13T14:33:55Z</t>
        </is>
      </c>
      <c r="P37" s="2" t="n">
        <v>0</v>
      </c>
      <c r="Q37" s="8" t="n">
        <v>0</v>
      </c>
      <c r="R37" s="8" t="n">
        <v>624.71</v>
      </c>
      <c r="S37" s="2" t="n">
        <v>5</v>
      </c>
      <c r="T37" s="2" t="n">
        <v>2</v>
      </c>
    </row>
    <row r="38">
      <c r="A38" s="2" t="n">
        <v>37</v>
      </c>
      <c r="B38" s="2" t="inlineStr">
        <is>
          <t>G1R6VYgRM51A469jCsamrdaPAacVuLzfMQhoX7o41mVr</t>
        </is>
      </c>
      <c r="E38" s="8" t="n">
        <v>518.66</v>
      </c>
      <c r="F38" s="8" t="n">
        <v>0</v>
      </c>
      <c r="G38" s="8" t="n">
        <v>518.66</v>
      </c>
      <c r="H38" s="2" t="n">
        <v>0</v>
      </c>
      <c r="I38" s="8" t="n">
        <v>0</v>
      </c>
      <c r="J38" s="8" t="n">
        <v>518.66</v>
      </c>
      <c r="K38" s="2" t="n">
        <v>0</v>
      </c>
      <c r="L38" s="2" t="n">
        <v>1</v>
      </c>
      <c r="M38" s="2" t="inlineStr">
        <is>
          <t>2026-09-13T12:29:07Z</t>
        </is>
      </c>
      <c r="N38" s="2" t="inlineStr">
        <is>
          <t>2026-09-13T12:29:07Z</t>
        </is>
      </c>
      <c r="P38" s="2" t="n">
        <v>0</v>
      </c>
      <c r="Q38" s="8" t="n">
        <v>0</v>
      </c>
      <c r="R38" s="8" t="n">
        <v>622.78</v>
      </c>
      <c r="S38" s="2" t="n">
        <v>5</v>
      </c>
      <c r="T38" s="2" t="n">
        <v>4</v>
      </c>
    </row>
    <row r="39">
      <c r="A39" s="2" t="n">
        <v>38</v>
      </c>
      <c r="B39" s="2" t="inlineStr">
        <is>
          <t>BrJ9dnUcbwEL5C7Z53VXuvAMRLbCPGvW1EdcVnwHh5vH</t>
        </is>
      </c>
      <c r="C39" s="2" t="inlineStr">
        <is>
          <t>fomo</t>
        </is>
      </c>
      <c r="E39" s="8" t="n">
        <v>516.63</v>
      </c>
      <c r="F39" s="8" t="n">
        <v>0</v>
      </c>
      <c r="G39" s="8" t="n">
        <v>516.63</v>
      </c>
      <c r="H39" s="2" t="n">
        <v>342.14</v>
      </c>
      <c r="I39" s="8" t="n">
        <v>151</v>
      </c>
      <c r="J39" s="8" t="n">
        <v>667.63</v>
      </c>
      <c r="K39" s="2" t="n">
        <v>3</v>
      </c>
      <c r="L39" s="2" t="n">
        <v>6</v>
      </c>
      <c r="M39" s="2" t="inlineStr">
        <is>
          <t>2026-09-13T07:42:38Z</t>
        </is>
      </c>
      <c r="N39" s="2" t="inlineStr">
        <is>
          <t>2026-09-14T09:48:40Z</t>
        </is>
      </c>
      <c r="O39" s="2" t="n">
        <v>93963</v>
      </c>
      <c r="P39" s="2" t="n">
        <v>0</v>
      </c>
      <c r="Q39" s="8" t="n">
        <v>0</v>
      </c>
      <c r="R39" s="8" t="n">
        <v>-20.93</v>
      </c>
      <c r="S39" s="2" t="n">
        <v>126</v>
      </c>
      <c r="T39" s="2" t="n">
        <v>47</v>
      </c>
    </row>
    <row r="40">
      <c r="A40" s="2" t="n">
        <v>39</v>
      </c>
      <c r="B40" s="2" t="inlineStr">
        <is>
          <t>H2SaqLVP8vEXPvesNsFwJUC6rMENxRgDkFmJ2w5xtvrk</t>
        </is>
      </c>
      <c r="E40" s="8" t="n">
        <v>514.14</v>
      </c>
      <c r="F40" s="8" t="n">
        <v>0</v>
      </c>
      <c r="G40" s="8" t="n">
        <v>514.14</v>
      </c>
      <c r="H40" s="2" t="n">
        <v>0</v>
      </c>
      <c r="I40" s="8" t="n">
        <v>0</v>
      </c>
      <c r="J40" s="8" t="n">
        <v>514.14</v>
      </c>
      <c r="K40" s="2" t="n">
        <v>0</v>
      </c>
      <c r="L40" s="2" t="n">
        <v>1</v>
      </c>
      <c r="M40" s="2" t="inlineStr">
        <is>
          <t>2026-09-13T14:32:13Z</t>
        </is>
      </c>
      <c r="N40" s="2" t="inlineStr">
        <is>
          <t>2026-09-13T14:32:13Z</t>
        </is>
      </c>
      <c r="P40" s="2" t="n">
        <v>0</v>
      </c>
      <c r="Q40" s="8" t="n">
        <v>0</v>
      </c>
      <c r="R40" s="8" t="n">
        <v>696.04</v>
      </c>
      <c r="S40" s="2" t="n">
        <v>6</v>
      </c>
      <c r="T40" s="2" t="n">
        <v>2</v>
      </c>
    </row>
    <row r="41">
      <c r="A41" s="2" t="n">
        <v>40</v>
      </c>
      <c r="B41" s="2" t="inlineStr">
        <is>
          <t>GzqMvEa5t7CTA9StmDTsuAZvDqgz6EQCf7rkMf9iL7zj</t>
        </is>
      </c>
      <c r="C41" s="2" t="inlineStr">
        <is>
          <t>gmgn</t>
        </is>
      </c>
      <c r="E41" s="8" t="n">
        <v>500.5</v>
      </c>
      <c r="F41" s="8" t="n">
        <v>0</v>
      </c>
      <c r="G41" s="8" t="n">
        <v>500.5</v>
      </c>
      <c r="H41" s="2" t="n">
        <v>81308.59</v>
      </c>
      <c r="I41" s="8" t="n">
        <v>0.62</v>
      </c>
      <c r="J41" s="8" t="n">
        <v>501.11</v>
      </c>
      <c r="K41" s="2" t="n">
        <v>2</v>
      </c>
      <c r="L41" s="2" t="n">
        <v>2</v>
      </c>
      <c r="M41" s="2" t="inlineStr">
        <is>
          <t>2026-09-13T08:24:04Z</t>
        </is>
      </c>
      <c r="N41" s="2" t="inlineStr">
        <is>
          <t>2026-09-13T11:51:12Z</t>
        </is>
      </c>
      <c r="O41" s="2" t="n">
        <v>12428</v>
      </c>
      <c r="P41" s="2" t="n">
        <v>0</v>
      </c>
      <c r="Q41" s="8" t="n">
        <v>0</v>
      </c>
      <c r="R41" s="8" t="n">
        <v>113109.78</v>
      </c>
      <c r="S41" s="2" t="n">
        <v>39767</v>
      </c>
      <c r="T41" s="2" t="n">
        <v>10041</v>
      </c>
    </row>
    <row r="42">
      <c r="A42" s="2" t="n">
        <v>41</v>
      </c>
      <c r="B42" s="2" t="inlineStr">
        <is>
          <t>4k8fBoL4LtEKrmWWxdyNrKpXnjxYrocK6DHU9gSbrC6s</t>
        </is>
      </c>
      <c r="C42" s="2" t="inlineStr">
        <is>
          <t>terminal</t>
        </is>
      </c>
      <c r="E42" s="8" t="n">
        <v>489.28</v>
      </c>
      <c r="F42" s="8" t="n">
        <v>0</v>
      </c>
      <c r="G42" s="8" t="n">
        <v>489.28</v>
      </c>
      <c r="H42" s="2" t="n">
        <v>121.36</v>
      </c>
      <c r="I42" s="8" t="n">
        <v>403.16</v>
      </c>
      <c r="J42" s="8" t="n">
        <v>892.4400000000001</v>
      </c>
      <c r="K42" s="2" t="n">
        <v>5</v>
      </c>
      <c r="L42" s="2" t="n">
        <v>3</v>
      </c>
      <c r="M42" s="2" t="inlineStr">
        <is>
          <t>2026-09-13T07:49:20Z</t>
        </is>
      </c>
      <c r="N42" s="2" t="inlineStr">
        <is>
          <t>2026-09-13T08:26:55Z</t>
        </is>
      </c>
      <c r="O42" s="2" t="n">
        <v>2762658</v>
      </c>
      <c r="P42" s="2" t="n">
        <v>4.65661e-10</v>
      </c>
      <c r="Q42" s="8" t="n">
        <v>0</v>
      </c>
      <c r="R42" s="8" t="n">
        <v>12144.14</v>
      </c>
      <c r="S42" s="2" t="n">
        <v>2453</v>
      </c>
      <c r="T42" s="2" t="n">
        <v>506</v>
      </c>
    </row>
    <row r="43">
      <c r="A43" s="2" t="n">
        <v>42</v>
      </c>
      <c r="B43" s="2" t="inlineStr">
        <is>
          <t>EydyXYJ2V9Up79wCCoj2heMBRSUSDqFnQtVEDwESmY4n</t>
        </is>
      </c>
      <c r="E43" s="8" t="n">
        <v>479.66</v>
      </c>
      <c r="F43" s="8" t="n">
        <v>0</v>
      </c>
      <c r="G43" s="8" t="n">
        <v>479.66</v>
      </c>
      <c r="H43" s="2" t="n">
        <v>0</v>
      </c>
      <c r="I43" s="8" t="n">
        <v>0</v>
      </c>
      <c r="J43" s="8" t="n">
        <v>479.66</v>
      </c>
      <c r="K43" s="2" t="n">
        <v>0</v>
      </c>
      <c r="L43" s="2" t="n">
        <v>2</v>
      </c>
      <c r="M43" s="2" t="inlineStr">
        <is>
          <t>2026-09-13T14:33:40Z</t>
        </is>
      </c>
      <c r="N43" s="2" t="inlineStr">
        <is>
          <t>2026-09-13T14:33:55Z</t>
        </is>
      </c>
      <c r="P43" s="2" t="n">
        <v>0</v>
      </c>
      <c r="Q43" s="8" t="n">
        <v>0</v>
      </c>
      <c r="R43" s="8" t="n">
        <v>26110.14</v>
      </c>
      <c r="S43" s="2" t="n">
        <v>3473</v>
      </c>
      <c r="T43" s="2" t="n">
        <v>482</v>
      </c>
    </row>
    <row r="44">
      <c r="A44" s="2" t="n">
        <v>43</v>
      </c>
      <c r="B44" s="2" t="inlineStr">
        <is>
          <t>B72eGByiZhQDtv264mHgsN7FWxoqbAXbRFmrFUr3zhPW</t>
        </is>
      </c>
      <c r="E44" s="8" t="n">
        <v>451.72</v>
      </c>
      <c r="F44" s="8" t="n">
        <v>0</v>
      </c>
      <c r="G44" s="8" t="n">
        <v>451.72</v>
      </c>
      <c r="H44" s="2" t="n">
        <v>55.92</v>
      </c>
      <c r="I44" s="8" t="n">
        <v>807.74</v>
      </c>
      <c r="J44" s="8" t="n">
        <v>1259.45</v>
      </c>
      <c r="K44" s="2" t="n">
        <v>6</v>
      </c>
      <c r="L44" s="2" t="n">
        <v>2</v>
      </c>
      <c r="M44" s="2" t="inlineStr">
        <is>
          <t>2026-09-13T08:43:54Z</t>
        </is>
      </c>
      <c r="N44" s="2" t="inlineStr">
        <is>
          <t>2026-09-13T11:47:36Z</t>
        </is>
      </c>
      <c r="O44" s="2" t="n">
        <v>11022</v>
      </c>
      <c r="P44" s="2" t="n">
        <v>0</v>
      </c>
      <c r="Q44" s="8" t="n">
        <v>0</v>
      </c>
      <c r="R44" s="8" t="n">
        <v>-1862.12</v>
      </c>
      <c r="S44" s="2" t="n">
        <v>334</v>
      </c>
      <c r="T44" s="2" t="n">
        <v>79</v>
      </c>
    </row>
    <row r="45">
      <c r="A45" s="2" t="n">
        <v>44</v>
      </c>
      <c r="B45" s="2" t="inlineStr">
        <is>
          <t>EMzWTFDSaufY5iE6XyAgmWMEt2G1YR79uvNyQisgB9Hv</t>
        </is>
      </c>
      <c r="C45" s="2" t="inlineStr">
        <is>
          <t>pumpfun-app</t>
        </is>
      </c>
      <c r="D45" s="2" t="inlineStr">
        <is>
          <t>moontunaunwarys</t>
        </is>
      </c>
      <c r="E45" s="8" t="n">
        <v>450.42</v>
      </c>
      <c r="F45" s="8" t="n">
        <v>0</v>
      </c>
      <c r="G45" s="8" t="n">
        <v>450.42</v>
      </c>
      <c r="H45" s="2" t="n">
        <v>229.11</v>
      </c>
      <c r="I45" s="8" t="n">
        <v>196.59</v>
      </c>
      <c r="J45" s="8" t="n">
        <v>647.02</v>
      </c>
      <c r="K45" s="2" t="n">
        <v>6</v>
      </c>
      <c r="L45" s="2" t="n">
        <v>5</v>
      </c>
      <c r="M45" s="2" t="inlineStr">
        <is>
          <t>2026-09-13T07:38:30Z</t>
        </is>
      </c>
      <c r="N45" s="2" t="inlineStr">
        <is>
          <t>2026-09-13T17:27:39Z</t>
        </is>
      </c>
      <c r="O45" s="2" t="n">
        <v>35349</v>
      </c>
      <c r="P45" s="2" t="n">
        <v>0</v>
      </c>
      <c r="Q45" s="8" t="n">
        <v>0</v>
      </c>
      <c r="R45" s="8" t="n">
        <v>-3077.73</v>
      </c>
      <c r="S45" s="2" t="n">
        <v>3032</v>
      </c>
      <c r="T45" s="2" t="n">
        <v>881</v>
      </c>
    </row>
    <row r="46">
      <c r="A46" s="2" t="n">
        <v>45</v>
      </c>
      <c r="B46" s="2" t="inlineStr">
        <is>
          <t>3MKF2eLSTSzt7QYycaLMQp1WnmG7nWVXk6GAXV6rxpdv</t>
        </is>
      </c>
      <c r="E46" s="8" t="n">
        <v>446.76</v>
      </c>
      <c r="F46" s="8" t="n">
        <v>0</v>
      </c>
      <c r="G46" s="8" t="n">
        <v>446.76</v>
      </c>
      <c r="H46" s="2" t="n">
        <v>144592</v>
      </c>
      <c r="I46" s="8" t="n">
        <v>0.31</v>
      </c>
      <c r="J46" s="8" t="n">
        <v>447.07</v>
      </c>
      <c r="K46" s="2" t="n">
        <v>1</v>
      </c>
      <c r="L46" s="2" t="n">
        <v>1</v>
      </c>
      <c r="M46" s="2" t="inlineStr">
        <is>
          <t>2026-09-13T14:34:32Z</t>
        </is>
      </c>
      <c r="N46" s="2" t="inlineStr">
        <is>
          <t>2026-09-13T14:47:02Z</t>
        </is>
      </c>
      <c r="O46" s="2" t="n">
        <v>750</v>
      </c>
      <c r="P46" s="2" t="n">
        <v>0</v>
      </c>
      <c r="Q46" s="8" t="n">
        <v>0</v>
      </c>
      <c r="R46" s="8" t="n">
        <v>1024.09</v>
      </c>
      <c r="S46" s="2" t="n">
        <v>30</v>
      </c>
      <c r="T46" s="2" t="n">
        <v>14</v>
      </c>
    </row>
    <row r="47">
      <c r="A47" s="2" t="n">
        <v>46</v>
      </c>
      <c r="B47" s="2" t="inlineStr">
        <is>
          <t>6LAVrzodQsQjCuvYSiAbUzZ8A1NKwqsZwgFshoCzTsbo</t>
        </is>
      </c>
      <c r="C47" s="2" t="inlineStr">
        <is>
          <t>axiom;fomo</t>
        </is>
      </c>
      <c r="D47" s="2" t="inlineStr">
        <is>
          <t>domi</t>
        </is>
      </c>
      <c r="E47" s="8" t="n">
        <v>442.63</v>
      </c>
      <c r="F47" s="8" t="n">
        <v>0</v>
      </c>
      <c r="G47" s="8" t="n">
        <v>442.63</v>
      </c>
      <c r="H47" s="2" t="n">
        <v>32.31</v>
      </c>
      <c r="I47" s="8" t="n">
        <v>1369.78</v>
      </c>
      <c r="J47" s="8" t="n">
        <v>1812.42</v>
      </c>
      <c r="K47" s="2" t="n">
        <v>4</v>
      </c>
      <c r="L47" s="2" t="n">
        <v>2</v>
      </c>
      <c r="M47" s="2" t="inlineStr">
        <is>
          <t>2026-09-13T09:06:57Z</t>
        </is>
      </c>
      <c r="N47" s="2" t="inlineStr">
        <is>
          <t>2026-09-13T13:11:34Z</t>
        </is>
      </c>
      <c r="O47" s="2" t="n">
        <v>14677</v>
      </c>
      <c r="P47" s="2" t="n">
        <v>0</v>
      </c>
      <c r="Q47" s="8" t="n">
        <v>0</v>
      </c>
      <c r="R47" s="8" t="n">
        <v>300.22</v>
      </c>
      <c r="S47" s="2" t="n">
        <v>167</v>
      </c>
      <c r="T47" s="2" t="n">
        <v>43</v>
      </c>
    </row>
    <row r="48">
      <c r="A48" s="2" t="n">
        <v>47</v>
      </c>
      <c r="B48" s="2" t="inlineStr">
        <is>
          <t>A4r7EyPxDc5TZ2nJSVUSQCnX7zwaJzEtq66bU2p6G7ZY</t>
        </is>
      </c>
      <c r="C48" s="2" t="inlineStr">
        <is>
          <t>pumpfun-app</t>
        </is>
      </c>
      <c r="D48" s="2" t="inlineStr">
        <is>
          <t>moonmarlinworth</t>
        </is>
      </c>
      <c r="E48" s="8" t="n">
        <v>440.05</v>
      </c>
      <c r="F48" s="8" t="n">
        <v>0</v>
      </c>
      <c r="G48" s="8" t="n">
        <v>440.05</v>
      </c>
      <c r="H48" s="2" t="n">
        <v>996.95</v>
      </c>
      <c r="I48" s="8" t="n">
        <v>44.14</v>
      </c>
      <c r="J48" s="8" t="n">
        <v>484.19</v>
      </c>
      <c r="K48" s="2" t="n">
        <v>3</v>
      </c>
      <c r="L48" s="2" t="n">
        <v>6</v>
      </c>
      <c r="M48" s="2" t="inlineStr">
        <is>
          <t>2026-09-13T08:02:59Z</t>
        </is>
      </c>
      <c r="N48" s="2" t="inlineStr">
        <is>
          <t>2026-09-13T14:22:40Z</t>
        </is>
      </c>
      <c r="O48" s="2" t="n">
        <v>22781</v>
      </c>
      <c r="P48" s="2" t="n">
        <v>0</v>
      </c>
      <c r="Q48" s="8" t="n">
        <v>0</v>
      </c>
      <c r="R48" s="8" t="n">
        <v>-2302.64</v>
      </c>
      <c r="S48" s="2" t="n">
        <v>5179</v>
      </c>
      <c r="T48" s="2" t="n">
        <v>1732</v>
      </c>
    </row>
    <row r="49">
      <c r="A49" s="2" t="n">
        <v>48</v>
      </c>
      <c r="B49" s="2" t="inlineStr">
        <is>
          <t>6iWLSnyRQZnwQnqjLaMyzWxKDJhhLZ54AiB42po41iu3</t>
        </is>
      </c>
      <c r="C49" s="2" t="inlineStr">
        <is>
          <t>pumpfun-app</t>
        </is>
      </c>
      <c r="D49" s="2" t="inlineStr">
        <is>
          <t>myldodkdnkfkn</t>
        </is>
      </c>
      <c r="E49" s="8" t="n">
        <v>438.52</v>
      </c>
      <c r="F49" s="8" t="n">
        <v>0</v>
      </c>
      <c r="G49" s="8" t="n">
        <v>438.52</v>
      </c>
      <c r="H49" s="2" t="n">
        <v>1086.15</v>
      </c>
      <c r="I49" s="8" t="n">
        <v>40.37</v>
      </c>
      <c r="J49" s="8" t="n">
        <v>478.89</v>
      </c>
      <c r="K49" s="2" t="n">
        <v>1</v>
      </c>
      <c r="L49" s="2" t="n">
        <v>7</v>
      </c>
      <c r="M49" s="2" t="inlineStr">
        <is>
          <t>2026-09-13T07:41:38Z</t>
        </is>
      </c>
      <c r="N49" s="2" t="inlineStr">
        <is>
          <t>2026-09-13T13:19:28Z</t>
        </is>
      </c>
      <c r="O49" s="2" t="n">
        <v>20270</v>
      </c>
      <c r="P49" s="2" t="n">
        <v>0</v>
      </c>
      <c r="Q49" s="8" t="n">
        <v>0</v>
      </c>
      <c r="R49" s="8" t="n">
        <v>-6331.45</v>
      </c>
      <c r="S49" s="2" t="n">
        <v>7263</v>
      </c>
      <c r="T49" s="2" t="n">
        <v>1851</v>
      </c>
    </row>
    <row r="50">
      <c r="A50" s="2" t="n">
        <v>49</v>
      </c>
      <c r="B50" s="2" t="inlineStr">
        <is>
          <t>4sAUSQFdvWRBxR8UoLBYbw8CcXuwXWxnN8pXa4mtm5nU</t>
        </is>
      </c>
      <c r="C50" s="2" t="inlineStr">
        <is>
          <t>kol;gmgn;terminal;axiom</t>
        </is>
      </c>
      <c r="D50" s="2" t="inlineStr">
        <is>
          <t>Scharo</t>
        </is>
      </c>
      <c r="E50" s="8" t="n">
        <v>428.22</v>
      </c>
      <c r="F50" s="8" t="n">
        <v>0</v>
      </c>
      <c r="G50" s="8" t="n">
        <v>428.22</v>
      </c>
      <c r="H50" s="2" t="n">
        <v>0</v>
      </c>
      <c r="I50" s="8" t="n">
        <v>0</v>
      </c>
      <c r="J50" s="8" t="n">
        <v>428.22</v>
      </c>
      <c r="K50" s="2" t="n">
        <v>0</v>
      </c>
      <c r="L50" s="2" t="n">
        <v>6</v>
      </c>
      <c r="M50" s="2" t="inlineStr">
        <is>
          <t>2026-09-13T14:33:46Z</t>
        </is>
      </c>
      <c r="N50" s="2" t="inlineStr">
        <is>
          <t>2026-09-13T14:33:55Z</t>
        </is>
      </c>
      <c r="P50" s="2" t="n">
        <v>0</v>
      </c>
      <c r="Q50" s="8" t="n">
        <v>0</v>
      </c>
      <c r="R50" s="8" t="n">
        <v>881396.4399999999</v>
      </c>
      <c r="S50" s="2" t="n">
        <v>122741</v>
      </c>
      <c r="T50" s="2" t="n">
        <v>25137</v>
      </c>
    </row>
    <row r="51">
      <c r="A51" s="2" t="n">
        <v>50</v>
      </c>
      <c r="B51" s="2" t="inlineStr">
        <is>
          <t>3ZTHau1uWSd4ZRgQnn17C23vTra4Mv2fDAXMuC1w3msB</t>
        </is>
      </c>
      <c r="E51" s="8" t="n">
        <v>424.69</v>
      </c>
      <c r="F51" s="8" t="n">
        <v>0</v>
      </c>
      <c r="G51" s="8" t="n">
        <v>424.69</v>
      </c>
      <c r="H51" s="2" t="n">
        <v>0</v>
      </c>
      <c r="I51" s="8" t="n">
        <v>0</v>
      </c>
      <c r="J51" s="8" t="n">
        <v>424.69</v>
      </c>
      <c r="K51" s="2" t="n">
        <v>0</v>
      </c>
      <c r="L51" s="2" t="n">
        <v>1</v>
      </c>
      <c r="M51" s="2" t="inlineStr">
        <is>
          <t>2026-09-13T14:32:13Z</t>
        </is>
      </c>
      <c r="N51" s="2" t="inlineStr">
        <is>
          <t>2026-09-13T14:32:13Z</t>
        </is>
      </c>
      <c r="P51" s="2" t="n">
        <v>0</v>
      </c>
      <c r="Q51" s="8" t="n">
        <v>0</v>
      </c>
      <c r="R51" s="8" t="n">
        <v>481.32</v>
      </c>
      <c r="S51" s="2" t="n">
        <v>4</v>
      </c>
      <c r="T51" s="2" t="n">
        <v>2</v>
      </c>
    </row>
    <row r="52">
      <c r="A52" s="2" t="n">
        <v>51</v>
      </c>
      <c r="B52" s="2" t="inlineStr">
        <is>
          <t>9eYLsB4CYerTRnHWEgbS3gjamsyeD9bHdWJYEmQudp4L</t>
        </is>
      </c>
      <c r="C52" s="2" t="inlineStr">
        <is>
          <t>gmgn</t>
        </is>
      </c>
      <c r="E52" s="8" t="n">
        <v>410.65</v>
      </c>
      <c r="F52" s="8" t="n">
        <v>0</v>
      </c>
      <c r="G52" s="8" t="n">
        <v>410.65</v>
      </c>
      <c r="H52" s="2" t="n">
        <v>0</v>
      </c>
      <c r="I52" s="8" t="n">
        <v>0</v>
      </c>
      <c r="J52" s="8" t="n">
        <v>410.65</v>
      </c>
      <c r="K52" s="2" t="n">
        <v>0</v>
      </c>
      <c r="L52" s="2" t="n">
        <v>2</v>
      </c>
      <c r="M52" s="2" t="inlineStr">
        <is>
          <t>2026-09-13T14:33:40Z</t>
        </is>
      </c>
      <c r="N52" s="2" t="inlineStr">
        <is>
          <t>2026-09-13T14:33:55Z</t>
        </is>
      </c>
      <c r="P52" s="2" t="n">
        <v>0</v>
      </c>
      <c r="Q52" s="8" t="n">
        <v>0</v>
      </c>
      <c r="R52" s="8" t="n">
        <v>3770.88</v>
      </c>
      <c r="S52" s="2" t="n">
        <v>821</v>
      </c>
      <c r="T52" s="2" t="n">
        <v>149</v>
      </c>
    </row>
    <row r="53">
      <c r="A53" s="2" t="n">
        <v>52</v>
      </c>
      <c r="B53" s="2" t="inlineStr">
        <is>
          <t>Cgm5wvnCRJEyhAaFwHvAJMnd8ygoiJ6ezbVLtKbDJcEC</t>
        </is>
      </c>
      <c r="C53" s="2" t="inlineStr">
        <is>
          <t>terminal;pumpfun-app</t>
        </is>
      </c>
      <c r="D53" s="2" t="inlineStr">
        <is>
          <t>BagFogPerigee</t>
        </is>
      </c>
      <c r="E53" s="8" t="n">
        <v>403.75</v>
      </c>
      <c r="F53" s="8" t="n">
        <v>0</v>
      </c>
      <c r="G53" s="8" t="n">
        <v>403.75</v>
      </c>
      <c r="H53" s="2" t="n">
        <v>77.51000000000001</v>
      </c>
      <c r="I53" s="8" t="n">
        <v>520.87</v>
      </c>
      <c r="J53" s="8" t="n">
        <v>924.62</v>
      </c>
      <c r="K53" s="2" t="n">
        <v>13</v>
      </c>
      <c r="L53" s="2" t="n">
        <v>4</v>
      </c>
      <c r="M53" s="2" t="inlineStr">
        <is>
          <t>2026-09-13T07:51:57Z</t>
        </is>
      </c>
      <c r="N53" s="2" t="inlineStr">
        <is>
          <t>2026-09-13T14:22:20Z</t>
        </is>
      </c>
      <c r="O53" s="2" t="n">
        <v>23423</v>
      </c>
      <c r="P53" s="2" t="n">
        <v>0</v>
      </c>
      <c r="Q53" s="8" t="n">
        <v>0</v>
      </c>
      <c r="R53" s="8" t="n">
        <v>-99.52</v>
      </c>
      <c r="S53" s="2" t="n">
        <v>776</v>
      </c>
      <c r="T53" s="2" t="n">
        <v>276</v>
      </c>
    </row>
    <row r="54">
      <c r="A54" s="2" t="n">
        <v>53</v>
      </c>
      <c r="B54" s="2" t="inlineStr">
        <is>
          <t>22sLXT5bZGoCYnwDiBLm3A1uSncwMtSUMJeZYgYD6xok</t>
        </is>
      </c>
      <c r="C54" s="2" t="inlineStr">
        <is>
          <t>pumpfun-app</t>
        </is>
      </c>
      <c r="D54" s="2" t="inlineStr">
        <is>
          <t>reb2021</t>
        </is>
      </c>
      <c r="E54" s="8" t="n">
        <v>403.51</v>
      </c>
      <c r="F54" s="8" t="n">
        <v>0</v>
      </c>
      <c r="G54" s="8" t="n">
        <v>403.51</v>
      </c>
      <c r="H54" s="2" t="n">
        <v>237.57</v>
      </c>
      <c r="I54" s="8" t="n">
        <v>169.85</v>
      </c>
      <c r="J54" s="8" t="n">
        <v>573.36</v>
      </c>
      <c r="K54" s="2" t="n">
        <v>2</v>
      </c>
      <c r="L54" s="2" t="n">
        <v>4</v>
      </c>
      <c r="M54" s="2" t="inlineStr">
        <is>
          <t>2026-09-13T07:36:56Z</t>
        </is>
      </c>
      <c r="N54" s="2" t="inlineStr">
        <is>
          <t>2026-09-13T17:18:21Z</t>
        </is>
      </c>
      <c r="O54" s="2" t="n">
        <v>34885</v>
      </c>
      <c r="P54" s="2" t="n">
        <v>0</v>
      </c>
      <c r="Q54" s="8" t="n">
        <v>0</v>
      </c>
      <c r="R54" s="8" t="n">
        <v>-9342.08</v>
      </c>
      <c r="S54" s="2" t="n">
        <v>2418</v>
      </c>
      <c r="T54" s="2" t="n">
        <v>718</v>
      </c>
    </row>
    <row r="55">
      <c r="A55" s="2" t="n">
        <v>54</v>
      </c>
      <c r="B55" s="2" t="inlineStr">
        <is>
          <t>HZyJNKiMYYgpvd7xK36tGkdG1xf9SkNQjNy8koSDcGyA</t>
        </is>
      </c>
      <c r="C55" s="2" t="inlineStr">
        <is>
          <t>gmgn;terminal;bloom</t>
        </is>
      </c>
      <c r="E55" s="8" t="n">
        <v>391.81</v>
      </c>
      <c r="F55" s="8" t="n">
        <v>0</v>
      </c>
      <c r="G55" s="8" t="n">
        <v>391.81</v>
      </c>
      <c r="H55" s="2" t="n">
        <v>0</v>
      </c>
      <c r="I55" s="8" t="n">
        <v>0</v>
      </c>
      <c r="J55" s="8" t="n">
        <v>391.81</v>
      </c>
      <c r="K55" s="2" t="n">
        <v>0</v>
      </c>
      <c r="L55" s="2" t="n">
        <v>1</v>
      </c>
      <c r="M55" s="2" t="inlineStr">
        <is>
          <t>2026-09-13T15:39:05Z</t>
        </is>
      </c>
      <c r="N55" s="2" t="inlineStr">
        <is>
          <t>2026-09-13T15:39:05Z</t>
        </is>
      </c>
      <c r="P55" s="2" t="n">
        <v>0</v>
      </c>
      <c r="Q55" s="8" t="n">
        <v>0</v>
      </c>
      <c r="R55" s="8" t="n">
        <v>586618.92</v>
      </c>
      <c r="S55" s="2" t="n">
        <v>34287</v>
      </c>
      <c r="T55" s="2" t="n">
        <v>10024</v>
      </c>
    </row>
    <row r="56">
      <c r="A56" s="2" t="n">
        <v>55</v>
      </c>
      <c r="B56" s="2" t="inlineStr">
        <is>
          <t>5sXkHQNsgyBfa4XiS6wLLULBHxjZzEZ5hX5SuvR31LB8</t>
        </is>
      </c>
      <c r="C56" s="2" t="inlineStr">
        <is>
          <t>potential_bot;gmgn</t>
        </is>
      </c>
      <c r="E56" s="8" t="n">
        <v>368.89</v>
      </c>
      <c r="F56" s="8" t="n">
        <v>0</v>
      </c>
      <c r="G56" s="8" t="n">
        <v>368.89</v>
      </c>
      <c r="H56" s="2" t="n">
        <v>0</v>
      </c>
      <c r="I56" s="8" t="n">
        <v>0</v>
      </c>
      <c r="J56" s="8" t="n">
        <v>368.89</v>
      </c>
      <c r="K56" s="2" t="n">
        <v>0</v>
      </c>
      <c r="L56" s="2" t="n">
        <v>3</v>
      </c>
      <c r="M56" s="2" t="inlineStr">
        <is>
          <t>2026-09-13T12:31:55Z</t>
        </is>
      </c>
      <c r="N56" s="2" t="inlineStr">
        <is>
          <t>2026-09-13T13:37:51Z</t>
        </is>
      </c>
      <c r="P56" s="2" t="n">
        <v>0</v>
      </c>
      <c r="Q56" s="8" t="n">
        <v>0</v>
      </c>
      <c r="R56" s="8" t="n">
        <v>20172.07</v>
      </c>
      <c r="S56" s="2" t="n">
        <v>1650</v>
      </c>
      <c r="T56" s="2" t="n">
        <v>560</v>
      </c>
    </row>
    <row r="57">
      <c r="A57" s="2" t="n">
        <v>56</v>
      </c>
      <c r="B57" s="2" t="inlineStr">
        <is>
          <t>CcJX975YTw8owyuRwyC1m9pyC3ZhRp89VM12pfUfDBcf</t>
        </is>
      </c>
      <c r="C57" s="2" t="inlineStr">
        <is>
          <t>pumpfun-app</t>
        </is>
      </c>
      <c r="D57" s="2" t="inlineStr">
        <is>
          <t>crackthecode</t>
        </is>
      </c>
      <c r="E57" s="8" t="n">
        <v>344.98</v>
      </c>
      <c r="F57" s="8" t="n">
        <v>0</v>
      </c>
      <c r="G57" s="8" t="n">
        <v>344.98</v>
      </c>
      <c r="H57" s="2" t="n">
        <v>289.02</v>
      </c>
      <c r="I57" s="8" t="n">
        <v>119.36</v>
      </c>
      <c r="J57" s="8" t="n">
        <v>464.34</v>
      </c>
      <c r="K57" s="2" t="n">
        <v>3</v>
      </c>
      <c r="L57" s="2" t="n">
        <v>4</v>
      </c>
      <c r="M57" s="2" t="inlineStr">
        <is>
          <t>2026-09-13T08:06:13Z</t>
        </is>
      </c>
      <c r="N57" s="2" t="inlineStr">
        <is>
          <t>2026-09-13T11:47:51Z</t>
        </is>
      </c>
      <c r="O57" s="2" t="n">
        <v>13298</v>
      </c>
      <c r="P57" s="2" t="n">
        <v>0</v>
      </c>
      <c r="Q57" s="8" t="n">
        <v>0</v>
      </c>
      <c r="R57" s="8" t="n">
        <v>15110.93</v>
      </c>
      <c r="S57" s="2" t="n">
        <v>7971</v>
      </c>
      <c r="T57" s="2" t="n">
        <v>3080</v>
      </c>
    </row>
    <row r="58">
      <c r="A58" s="2" t="n">
        <v>57</v>
      </c>
      <c r="B58" s="2" t="inlineStr">
        <is>
          <t>3wskDfgvMtEMwJ1gjWBqmfryZPzBU4rML4Apjs2K8UgJ</t>
        </is>
      </c>
      <c r="C58" s="2" t="inlineStr">
        <is>
          <t>potential_bot;axiom;bloom</t>
        </is>
      </c>
      <c r="E58" s="8" t="n">
        <v>333.89</v>
      </c>
      <c r="F58" s="8" t="n">
        <v>0</v>
      </c>
      <c r="G58" s="8" t="n">
        <v>333.89</v>
      </c>
      <c r="H58" s="2" t="n">
        <v>0</v>
      </c>
      <c r="I58" s="8" t="n">
        <v>0</v>
      </c>
      <c r="J58" s="8" t="n">
        <v>333.89</v>
      </c>
      <c r="K58" s="2" t="n">
        <v>0</v>
      </c>
      <c r="L58" s="2" t="n">
        <v>1</v>
      </c>
      <c r="M58" s="2" t="inlineStr">
        <is>
          <t>2026-09-13T14:28:13Z</t>
        </is>
      </c>
      <c r="N58" s="2" t="inlineStr">
        <is>
          <t>2026-09-13T14:28:13Z</t>
        </is>
      </c>
      <c r="P58" s="2" t="n">
        <v>0</v>
      </c>
      <c r="Q58" s="8" t="n">
        <v>0</v>
      </c>
      <c r="R58" s="8" t="n">
        <v>35648.74</v>
      </c>
      <c r="S58" s="2" t="n">
        <v>734</v>
      </c>
      <c r="T58" s="2" t="n">
        <v>80</v>
      </c>
    </row>
    <row r="59">
      <c r="A59" s="2" t="n">
        <v>58</v>
      </c>
      <c r="B59" s="2" t="inlineStr">
        <is>
          <t>4sdvDXxXosimgo6wdgmQSeiPaq18H7aLUj7xHaD2G38j</t>
        </is>
      </c>
      <c r="C59" s="2" t="inlineStr">
        <is>
          <t>terminal</t>
        </is>
      </c>
      <c r="E59" s="8" t="n">
        <v>332.88</v>
      </c>
      <c r="F59" s="8" t="n">
        <v>0</v>
      </c>
      <c r="G59" s="8" t="n">
        <v>332.88</v>
      </c>
      <c r="H59" s="2" t="n">
        <v>1082.74</v>
      </c>
      <c r="I59" s="8" t="n">
        <v>30.74</v>
      </c>
      <c r="J59" s="8" t="n">
        <v>363.63</v>
      </c>
      <c r="K59" s="2" t="n">
        <v>5</v>
      </c>
      <c r="L59" s="2" t="n">
        <v>1</v>
      </c>
      <c r="M59" s="2" t="inlineStr">
        <is>
          <t>2026-09-13T07:51:20Z</t>
        </is>
      </c>
      <c r="N59" s="2" t="inlineStr">
        <is>
          <t>2026-09-13T11:08:49Z</t>
        </is>
      </c>
      <c r="O59" s="2" t="n">
        <v>11849</v>
      </c>
      <c r="P59" s="2" t="n">
        <v>0</v>
      </c>
      <c r="Q59" s="8" t="n">
        <v>0</v>
      </c>
      <c r="R59" s="8" t="n">
        <v>-29644.78</v>
      </c>
      <c r="S59" s="2" t="n">
        <v>14816</v>
      </c>
      <c r="T59" s="2" t="n">
        <v>3157</v>
      </c>
    </row>
    <row r="60">
      <c r="A60" s="2" t="n">
        <v>59</v>
      </c>
      <c r="B60" s="2" t="inlineStr">
        <is>
          <t>882JBR2wMcMTMTY9fkrnUDgMvJchhmYiBnAMoKYkZMhS</t>
        </is>
      </c>
      <c r="E60" s="8" t="n">
        <v>328.65</v>
      </c>
      <c r="F60" s="8" t="n">
        <v>0</v>
      </c>
      <c r="G60" s="8" t="n">
        <v>328.65</v>
      </c>
      <c r="H60" s="2" t="n">
        <v>40.59</v>
      </c>
      <c r="I60" s="8" t="n">
        <v>809.76</v>
      </c>
      <c r="J60" s="8" t="n">
        <v>1138.41</v>
      </c>
      <c r="K60" s="2" t="n">
        <v>8</v>
      </c>
      <c r="L60" s="2" t="n">
        <v>4</v>
      </c>
      <c r="M60" s="2" t="inlineStr">
        <is>
          <t>2026-09-13T08:50:45Z</t>
        </is>
      </c>
      <c r="N60" s="2" t="inlineStr">
        <is>
          <t>2026-09-13T14:54:43Z</t>
        </is>
      </c>
      <c r="O60" s="2" t="n">
        <v>21838</v>
      </c>
      <c r="P60" s="2" t="n">
        <v>0</v>
      </c>
      <c r="Q60" s="8" t="n">
        <v>0</v>
      </c>
      <c r="R60" s="8" t="n">
        <v>-1657.09</v>
      </c>
      <c r="S60" s="2" t="n">
        <v>503</v>
      </c>
      <c r="T60" s="2" t="n">
        <v>174</v>
      </c>
    </row>
    <row r="61">
      <c r="A61" s="2" t="n">
        <v>60</v>
      </c>
      <c r="B61" s="2" t="inlineStr">
        <is>
          <t>5a7PmxFqt1AxHpxfudFsVw6qsr5gJHUuP95srZgctRCY</t>
        </is>
      </c>
      <c r="C61" s="2" t="inlineStr">
        <is>
          <t>pumpfun-app</t>
        </is>
      </c>
      <c r="D61" s="2" t="inlineStr">
        <is>
          <t>shadedtuna09013</t>
        </is>
      </c>
      <c r="E61" s="8" t="n">
        <v>322.59</v>
      </c>
      <c r="F61" s="8" t="n">
        <v>0</v>
      </c>
      <c r="G61" s="8" t="n">
        <v>322.59</v>
      </c>
      <c r="H61" s="2" t="n">
        <v>85.16</v>
      </c>
      <c r="I61" s="8" t="n">
        <v>378.82</v>
      </c>
      <c r="J61" s="8" t="n">
        <v>701.41</v>
      </c>
      <c r="K61" s="2" t="n">
        <v>7</v>
      </c>
      <c r="L61" s="2" t="n">
        <v>1</v>
      </c>
      <c r="M61" s="2" t="inlineStr">
        <is>
          <t>2026-09-13T09:44:16Z</t>
        </is>
      </c>
      <c r="N61" s="2" t="inlineStr">
        <is>
          <t>2026-09-13T13:51:21Z</t>
        </is>
      </c>
      <c r="O61" s="2" t="n">
        <v>14825</v>
      </c>
      <c r="P61" s="2" t="n">
        <v>0</v>
      </c>
      <c r="Q61" s="8" t="n">
        <v>0</v>
      </c>
      <c r="R61" s="8" t="n">
        <v>-31054.46</v>
      </c>
      <c r="S61" s="2" t="n">
        <v>720</v>
      </c>
      <c r="T61" s="2" t="n">
        <v>166</v>
      </c>
    </row>
    <row r="62">
      <c r="A62" s="2" t="n">
        <v>61</v>
      </c>
      <c r="B62" s="2" t="inlineStr">
        <is>
          <t>3K8UquozjMCuCi6KjrYZRjKtsBPoCGDsg6RRbaS1yU2d</t>
        </is>
      </c>
      <c r="C62" s="2" t="inlineStr">
        <is>
          <t>terminal;pumpfun-app</t>
        </is>
      </c>
      <c r="D62" s="2" t="inlineStr">
        <is>
          <t>grimreaperrr</t>
        </is>
      </c>
      <c r="E62" s="8" t="n">
        <v>321.44</v>
      </c>
      <c r="F62" s="8" t="n">
        <v>0</v>
      </c>
      <c r="G62" s="8" t="n">
        <v>321.44</v>
      </c>
      <c r="H62" s="2" t="n">
        <v>24.62</v>
      </c>
      <c r="I62" s="8" t="n">
        <v>1305.51</v>
      </c>
      <c r="J62" s="8" t="n">
        <v>1626.94</v>
      </c>
      <c r="K62" s="2" t="n">
        <v>4</v>
      </c>
      <c r="L62" s="2" t="n">
        <v>3</v>
      </c>
      <c r="M62" s="2" t="inlineStr">
        <is>
          <t>2026-09-13T07:37:40Z</t>
        </is>
      </c>
      <c r="N62" s="2" t="inlineStr">
        <is>
          <t>2026-09-13T18:18:30Z</t>
        </is>
      </c>
      <c r="O62" s="2" t="n">
        <v>38450</v>
      </c>
      <c r="P62" s="2" t="n">
        <v>0</v>
      </c>
      <c r="Q62" s="8" t="n">
        <v>0</v>
      </c>
      <c r="R62" s="8" t="n">
        <v>623.8</v>
      </c>
      <c r="S62" s="2" t="n">
        <v>2938</v>
      </c>
      <c r="T62" s="2" t="n">
        <v>1006</v>
      </c>
    </row>
    <row r="63">
      <c r="A63" s="2" t="n">
        <v>62</v>
      </c>
      <c r="B63" s="2" t="inlineStr">
        <is>
          <t>EE1YVFkvhjnsRWjewBQ6MjtgQgnvXW4ESG2xDbvSEGP6</t>
        </is>
      </c>
      <c r="E63" s="8" t="n">
        <v>317.49</v>
      </c>
      <c r="F63" s="8" t="n">
        <v>-835.97</v>
      </c>
      <c r="G63" s="8" t="n">
        <v>-518.48</v>
      </c>
      <c r="H63" s="2" t="n">
        <v>-37.14</v>
      </c>
      <c r="I63" s="8" t="n">
        <v>1396.18</v>
      </c>
      <c r="J63" s="8" t="n">
        <v>710</v>
      </c>
      <c r="K63" s="2" t="n">
        <v>16</v>
      </c>
      <c r="L63" s="2" t="n">
        <v>4</v>
      </c>
      <c r="M63" s="2" t="inlineStr">
        <is>
          <t>2026-09-13T08:41:04Z</t>
        </is>
      </c>
      <c r="N63" s="2" t="inlineStr">
        <is>
          <t>2026-09-14T09:43:16Z</t>
        </is>
      </c>
      <c r="O63" s="2" t="n">
        <v>2759554</v>
      </c>
      <c r="P63" s="2" t="n">
        <v>31219300.715283</v>
      </c>
      <c r="Q63" s="8" t="n">
        <v>167.7</v>
      </c>
      <c r="R63" s="8" t="n">
        <v>4303.01</v>
      </c>
      <c r="S63" s="2" t="n">
        <v>408</v>
      </c>
      <c r="T63" s="2" t="n">
        <v>68</v>
      </c>
    </row>
    <row r="64">
      <c r="A64" s="2" t="n">
        <v>63</v>
      </c>
      <c r="B64" s="2" t="inlineStr">
        <is>
          <t>Gt42WLM4psqNRcWhqgELgd9YtCXtFFqTcEjHNC7HnCZ5</t>
        </is>
      </c>
      <c r="E64" s="8" t="n">
        <v>308.83</v>
      </c>
      <c r="F64" s="8" t="n">
        <v>0</v>
      </c>
      <c r="G64" s="8" t="n">
        <v>308.83</v>
      </c>
      <c r="H64" s="2" t="n">
        <v>59.67</v>
      </c>
      <c r="I64" s="8" t="n">
        <v>517.54</v>
      </c>
      <c r="J64" s="8" t="n">
        <v>826.37</v>
      </c>
      <c r="K64" s="2" t="n">
        <v>1</v>
      </c>
      <c r="L64" s="2" t="n">
        <v>1</v>
      </c>
      <c r="M64" s="2" t="inlineStr">
        <is>
          <t>2026-09-13T08:21:14Z</t>
        </is>
      </c>
      <c r="N64" s="2" t="inlineStr">
        <is>
          <t>2026-09-13T08:30:16Z</t>
        </is>
      </c>
      <c r="O64" s="2" t="n">
        <v>543</v>
      </c>
      <c r="P64" s="2" t="n">
        <v>0</v>
      </c>
      <c r="Q64" s="8" t="n">
        <v>0</v>
      </c>
      <c r="R64" s="8" t="n">
        <v>-2094.3</v>
      </c>
      <c r="S64" s="2" t="n">
        <v>43</v>
      </c>
      <c r="T64" s="2" t="n">
        <v>21</v>
      </c>
    </row>
    <row r="65">
      <c r="A65" s="2" t="n">
        <v>64</v>
      </c>
      <c r="B65" s="2" t="inlineStr">
        <is>
          <t>8vextCRVuaHWZUaFdDFbJNCm8NtDBGGQgsGPPreNL1Gr</t>
        </is>
      </c>
      <c r="E65" s="8" t="n">
        <v>306.29</v>
      </c>
      <c r="F65" s="8" t="n">
        <v>0</v>
      </c>
      <c r="G65" s="8" t="n">
        <v>306.29</v>
      </c>
      <c r="H65" s="2" t="n">
        <v>64.72</v>
      </c>
      <c r="I65" s="8" t="n">
        <v>473.23</v>
      </c>
      <c r="J65" s="8" t="n">
        <v>779.52</v>
      </c>
      <c r="K65" s="2" t="n">
        <v>1</v>
      </c>
      <c r="L65" s="2" t="n">
        <v>1</v>
      </c>
      <c r="M65" s="2" t="inlineStr">
        <is>
          <t>2026-09-13T08:21:14Z</t>
        </is>
      </c>
      <c r="N65" s="2" t="inlineStr">
        <is>
          <t>2026-09-13T08:30:16Z</t>
        </is>
      </c>
      <c r="O65" s="2" t="n">
        <v>543</v>
      </c>
      <c r="P65" s="2" t="n">
        <v>0</v>
      </c>
      <c r="Q65" s="8" t="n">
        <v>0</v>
      </c>
      <c r="R65" s="8" t="n">
        <v>-632.83</v>
      </c>
      <c r="S65" s="2" t="n">
        <v>44</v>
      </c>
      <c r="T65" s="2" t="n">
        <v>21</v>
      </c>
    </row>
    <row r="66">
      <c r="A66" s="2" t="n">
        <v>65</v>
      </c>
      <c r="B66" s="2" t="inlineStr">
        <is>
          <t>GfE5eL3MWqeZEMzAzNWcFES2fd8Np1Ai7Do2woewccPG</t>
        </is>
      </c>
      <c r="E66" s="8" t="n">
        <v>303.31</v>
      </c>
      <c r="F66" s="8" t="n">
        <v>0</v>
      </c>
      <c r="G66" s="8" t="n">
        <v>303.31</v>
      </c>
      <c r="H66" s="2" t="n">
        <v>99.2</v>
      </c>
      <c r="I66" s="8" t="n">
        <v>305.76</v>
      </c>
      <c r="J66" s="8" t="n">
        <v>609.0700000000001</v>
      </c>
      <c r="K66" s="2" t="n">
        <v>7</v>
      </c>
      <c r="L66" s="2" t="n">
        <v>3</v>
      </c>
      <c r="M66" s="2" t="inlineStr">
        <is>
          <t>2026-09-13T08:19:23Z</t>
        </is>
      </c>
      <c r="N66" s="2" t="inlineStr">
        <is>
          <t>2026-09-13T09:41:51Z</t>
        </is>
      </c>
      <c r="O66" s="2" t="n">
        <v>4948</v>
      </c>
      <c r="P66" s="2" t="n">
        <v>0</v>
      </c>
      <c r="Q66" s="8" t="n">
        <v>0</v>
      </c>
      <c r="R66" s="8" t="n">
        <v>4893.97</v>
      </c>
      <c r="S66" s="2" t="n">
        <v>5547</v>
      </c>
      <c r="T66" s="2" t="n">
        <v>481</v>
      </c>
    </row>
    <row r="67">
      <c r="A67" s="2" t="n">
        <v>66</v>
      </c>
      <c r="B67" s="2" t="inlineStr">
        <is>
          <t>Eu6Vj9Ed5548aZPYG8UNMn7zzkKwcynry1wghhQXjRVY</t>
        </is>
      </c>
      <c r="C67" s="2" t="inlineStr">
        <is>
          <t>terminal;axiom</t>
        </is>
      </c>
      <c r="E67" s="8" t="n">
        <v>287.83</v>
      </c>
      <c r="F67" s="8" t="n">
        <v>0</v>
      </c>
      <c r="G67" s="8" t="n">
        <v>287.83</v>
      </c>
      <c r="H67" s="2" t="n">
        <v>24.07</v>
      </c>
      <c r="I67" s="8" t="n">
        <v>1195.71</v>
      </c>
      <c r="J67" s="8" t="n">
        <v>1483.54</v>
      </c>
      <c r="K67" s="2" t="n">
        <v>69</v>
      </c>
      <c r="L67" s="2" t="n">
        <v>15</v>
      </c>
      <c r="M67" s="2" t="inlineStr">
        <is>
          <t>2026-09-13T07:31:44Z</t>
        </is>
      </c>
      <c r="N67" s="2" t="inlineStr">
        <is>
          <t>2026-09-13T09:19:39Z</t>
        </is>
      </c>
      <c r="O67" s="2" t="n">
        <v>6475</v>
      </c>
      <c r="P67" s="2" t="n">
        <v>0</v>
      </c>
      <c r="Q67" s="8" t="n">
        <v>0</v>
      </c>
      <c r="R67" s="8" t="n">
        <v>53211.09</v>
      </c>
      <c r="S67" s="2" t="n">
        <v>248595</v>
      </c>
      <c r="T67" s="2" t="n">
        <v>29089</v>
      </c>
    </row>
    <row r="68">
      <c r="A68" s="2" t="n">
        <v>67</v>
      </c>
      <c r="B68" s="2" t="inlineStr">
        <is>
          <t>67MvX4bYXP5W2NwnXQuhsixBAyHk14WQJz3qT9EKfLkw</t>
        </is>
      </c>
      <c r="E68" s="8" t="n">
        <v>285.69</v>
      </c>
      <c r="F68" s="8" t="n">
        <v>-8.220000000000001</v>
      </c>
      <c r="G68" s="8" t="n">
        <v>277.47</v>
      </c>
      <c r="H68" s="2" t="n">
        <v>13.16</v>
      </c>
      <c r="I68" s="8" t="n">
        <v>2109.17</v>
      </c>
      <c r="J68" s="8" t="n">
        <v>2386.53</v>
      </c>
      <c r="K68" s="2" t="n">
        <v>10</v>
      </c>
      <c r="L68" s="2" t="n">
        <v>9</v>
      </c>
      <c r="M68" s="2" t="inlineStr">
        <is>
          <t>2026-09-13T10:23:15Z</t>
        </is>
      </c>
      <c r="N68" s="2" t="inlineStr">
        <is>
          <t>2026-09-13T13:16:30Z</t>
        </is>
      </c>
      <c r="O68" s="2" t="n">
        <v>2753423</v>
      </c>
      <c r="P68" s="2" t="n">
        <v>21878.22013699985</v>
      </c>
      <c r="Q68" s="8" t="n">
        <v>0.12</v>
      </c>
      <c r="R68" s="8" t="n">
        <v>-247.23</v>
      </c>
      <c r="S68" s="2" t="n">
        <v>221</v>
      </c>
      <c r="T68" s="2" t="n">
        <v>64</v>
      </c>
    </row>
    <row r="69">
      <c r="A69" s="2" t="n">
        <v>68</v>
      </c>
      <c r="B69" s="2" t="inlineStr">
        <is>
          <t>5Myh26jJR4VrqASpAnzqHWtv19m9MoifasimHUyRgtwF</t>
        </is>
      </c>
      <c r="E69" s="8" t="n">
        <v>284.21</v>
      </c>
      <c r="F69" s="8" t="n">
        <v>0</v>
      </c>
      <c r="G69" s="8" t="n">
        <v>284.21</v>
      </c>
      <c r="H69" s="2" t="n">
        <v>0</v>
      </c>
      <c r="I69" s="8" t="n">
        <v>0</v>
      </c>
      <c r="J69" s="8" t="n">
        <v>284.21</v>
      </c>
      <c r="K69" s="2" t="n">
        <v>0</v>
      </c>
      <c r="L69" s="2" t="n">
        <v>6</v>
      </c>
      <c r="M69" s="2" t="inlineStr">
        <is>
          <t>2026-09-13T14:33:46Z</t>
        </is>
      </c>
      <c r="N69" s="2" t="inlineStr">
        <is>
          <t>2026-09-13T14:33:55Z</t>
        </is>
      </c>
      <c r="P69" s="2" t="n">
        <v>0</v>
      </c>
      <c r="Q69" s="8" t="n">
        <v>0</v>
      </c>
      <c r="R69" s="8" t="n">
        <v>9169.26</v>
      </c>
      <c r="S69" s="2" t="n">
        <v>1769</v>
      </c>
      <c r="T69" s="2" t="n">
        <v>366</v>
      </c>
    </row>
    <row r="70">
      <c r="A70" s="2" t="n">
        <v>69</v>
      </c>
      <c r="B70" s="2" t="inlineStr">
        <is>
          <t>28ZJ1y324bStjbN7dXZuxupEY5nL6FUvXfPCZtTmqQqs</t>
        </is>
      </c>
      <c r="C70" s="2" t="inlineStr">
        <is>
          <t>gmgn</t>
        </is>
      </c>
      <c r="E70" s="8" t="n">
        <v>269.4</v>
      </c>
      <c r="F70" s="8" t="n">
        <v>0</v>
      </c>
      <c r="G70" s="8" t="n">
        <v>269.4</v>
      </c>
      <c r="H70" s="2" t="n">
        <v>0</v>
      </c>
      <c r="I70" s="8" t="n">
        <v>0</v>
      </c>
      <c r="J70" s="8" t="n">
        <v>269.4</v>
      </c>
      <c r="K70" s="2" t="n">
        <v>0</v>
      </c>
      <c r="L70" s="2" t="n">
        <v>1</v>
      </c>
      <c r="M70" s="2" t="inlineStr">
        <is>
          <t>2026-09-13T14:32:13Z</t>
        </is>
      </c>
      <c r="N70" s="2" t="inlineStr">
        <is>
          <t>2026-09-13T14:32:13Z</t>
        </is>
      </c>
      <c r="P70" s="2" t="n">
        <v>0</v>
      </c>
      <c r="Q70" s="8" t="n">
        <v>0</v>
      </c>
      <c r="R70" s="8" t="n">
        <v>368.85</v>
      </c>
      <c r="S70" s="2" t="n">
        <v>17</v>
      </c>
      <c r="T70" s="2" t="n">
        <v>8</v>
      </c>
    </row>
    <row r="71">
      <c r="A71" s="2" t="n">
        <v>70</v>
      </c>
      <c r="B71" s="2" t="inlineStr">
        <is>
          <t>Fgej4SPuW282TdrQRfizRHAeRasNqCtAWZizL3jDqMdS</t>
        </is>
      </c>
      <c r="C71" s="2" t="inlineStr">
        <is>
          <t>potential_bot;sns</t>
        </is>
      </c>
      <c r="D71" s="2" t="inlineStr">
        <is>
          <t>solanarent.sol</t>
        </is>
      </c>
      <c r="E71" s="8" t="n">
        <v>264.28</v>
      </c>
      <c r="F71" s="8" t="n">
        <v>0</v>
      </c>
      <c r="G71" s="8" t="n">
        <v>264.28</v>
      </c>
      <c r="H71" s="2" t="n">
        <v>0</v>
      </c>
      <c r="I71" s="8" t="n">
        <v>0</v>
      </c>
      <c r="J71" s="8" t="n">
        <v>264.28</v>
      </c>
      <c r="K71" s="2" t="n">
        <v>0</v>
      </c>
      <c r="L71" s="2" t="n">
        <v>3</v>
      </c>
      <c r="M71" s="2" t="inlineStr">
        <is>
          <t>2026-09-13T08:23:15Z</t>
        </is>
      </c>
      <c r="N71" s="2" t="inlineStr">
        <is>
          <t>2026-09-13T09:17:48Z</t>
        </is>
      </c>
      <c r="P71" s="2" t="n">
        <v>0</v>
      </c>
      <c r="Q71" s="8" t="n">
        <v>0</v>
      </c>
      <c r="R71" s="8" t="n">
        <v>2546795.69</v>
      </c>
      <c r="S71" s="2" t="n">
        <v>132197</v>
      </c>
      <c r="T71" s="2" t="n">
        <v>25419</v>
      </c>
    </row>
    <row r="72">
      <c r="A72" s="2" t="n">
        <v>71</v>
      </c>
      <c r="B72" s="2" t="inlineStr">
        <is>
          <t>HK6W9GaTNDdgPhLW1fZavPzVTv6Y5ADCtppVtDNQ19aq</t>
        </is>
      </c>
      <c r="E72" s="8" t="n">
        <v>260.03</v>
      </c>
      <c r="F72" s="8" t="n">
        <v>0</v>
      </c>
      <c r="G72" s="8" t="n">
        <v>260.03</v>
      </c>
      <c r="H72" s="2" t="n">
        <v>221.9</v>
      </c>
      <c r="I72" s="8" t="n">
        <v>117.18</v>
      </c>
      <c r="J72" s="8" t="n">
        <v>377.21</v>
      </c>
      <c r="K72" s="2" t="n">
        <v>3</v>
      </c>
      <c r="L72" s="2" t="n">
        <v>2</v>
      </c>
      <c r="M72" s="2" t="inlineStr">
        <is>
          <t>2026-09-13T08:43:45Z</t>
        </is>
      </c>
      <c r="N72" s="2" t="inlineStr">
        <is>
          <t>2026-09-13T12:16:29Z</t>
        </is>
      </c>
      <c r="O72" s="2" t="n">
        <v>12764</v>
      </c>
      <c r="P72" s="2" t="n">
        <v>0</v>
      </c>
      <c r="Q72" s="8" t="n">
        <v>0</v>
      </c>
      <c r="R72" s="8" t="n">
        <v>-3151.15</v>
      </c>
      <c r="S72" s="2" t="n">
        <v>296</v>
      </c>
      <c r="T72" s="2" t="n">
        <v>90</v>
      </c>
    </row>
    <row r="73">
      <c r="A73" s="2" t="n">
        <v>72</v>
      </c>
      <c r="B73" s="2" t="inlineStr">
        <is>
          <t>5NXA6g3B3pzBoTFY977FwDS5QqBmLHEuRAyifcsp2P8d</t>
        </is>
      </c>
      <c r="E73" s="8" t="n">
        <v>241.85</v>
      </c>
      <c r="F73" s="8" t="n">
        <v>0</v>
      </c>
      <c r="G73" s="8" t="n">
        <v>241.85</v>
      </c>
      <c r="H73" s="2" t="n">
        <v>54.2</v>
      </c>
      <c r="I73" s="8" t="n">
        <v>446.23</v>
      </c>
      <c r="J73" s="8" t="n">
        <v>688.08</v>
      </c>
      <c r="K73" s="2" t="n">
        <v>3</v>
      </c>
      <c r="L73" s="2" t="n">
        <v>2</v>
      </c>
      <c r="M73" s="2" t="inlineStr">
        <is>
          <t>2026-09-13T07:39:11Z</t>
        </is>
      </c>
      <c r="N73" s="2" t="inlineStr">
        <is>
          <t>2026-09-13T09:50:48Z</t>
        </is>
      </c>
      <c r="O73" s="2" t="n">
        <v>2763268</v>
      </c>
      <c r="P73" s="2" t="n">
        <v>9.31323e-10</v>
      </c>
      <c r="Q73" s="8" t="n">
        <v>0</v>
      </c>
      <c r="R73" s="8" t="n">
        <v>1926.8</v>
      </c>
      <c r="S73" s="2" t="n">
        <v>730</v>
      </c>
      <c r="T73" s="2" t="n">
        <v>298</v>
      </c>
    </row>
    <row r="74">
      <c r="A74" s="2" t="n">
        <v>73</v>
      </c>
      <c r="B74" s="2" t="inlineStr">
        <is>
          <t>71gxahAQQGw5ks6dnZDRUtuJtXDwhYSVE6F1n2T4JwtX</t>
        </is>
      </c>
      <c r="E74" s="8" t="n">
        <v>241.6</v>
      </c>
      <c r="F74" s="8" t="n">
        <v>0</v>
      </c>
      <c r="G74" s="8" t="n">
        <v>241.6</v>
      </c>
      <c r="H74" s="2" t="n">
        <v>22.94</v>
      </c>
      <c r="I74" s="8" t="n">
        <v>1053.25</v>
      </c>
      <c r="J74" s="8" t="n">
        <v>1294.85</v>
      </c>
      <c r="K74" s="2" t="n">
        <v>13</v>
      </c>
      <c r="L74" s="2" t="n">
        <v>5</v>
      </c>
      <c r="M74" s="2" t="inlineStr">
        <is>
          <t>2026-09-13T08:04:51Z</t>
        </is>
      </c>
      <c r="N74" s="2" t="inlineStr">
        <is>
          <t>2026-09-13T19:38:08Z</t>
        </is>
      </c>
      <c r="O74" s="2" t="n">
        <v>41598</v>
      </c>
      <c r="P74" s="2" t="n">
        <v>0</v>
      </c>
      <c r="Q74" s="8" t="n">
        <v>0</v>
      </c>
      <c r="R74" s="8" t="n">
        <v>-563.65</v>
      </c>
      <c r="S74" s="2" t="n">
        <v>1411</v>
      </c>
      <c r="T74" s="2" t="n">
        <v>488</v>
      </c>
    </row>
    <row r="75">
      <c r="A75" s="2" t="n">
        <v>74</v>
      </c>
      <c r="B75" s="2" t="inlineStr">
        <is>
          <t>5n4i9SyF9SBRWtktfCoXb8SWcVerQf1HLgk3sB1suZoA</t>
        </is>
      </c>
      <c r="C75" s="2" t="inlineStr">
        <is>
          <t>gmgn</t>
        </is>
      </c>
      <c r="E75" s="8" t="n">
        <v>234.78</v>
      </c>
      <c r="F75" s="8" t="n">
        <v>0</v>
      </c>
      <c r="G75" s="8" t="n">
        <v>234.78</v>
      </c>
      <c r="H75" s="2" t="n">
        <v>46.04</v>
      </c>
      <c r="I75" s="8" t="n">
        <v>510</v>
      </c>
      <c r="J75" s="8" t="n">
        <v>744.78</v>
      </c>
      <c r="K75" s="2" t="n">
        <v>7</v>
      </c>
      <c r="L75" s="2" t="n">
        <v>7</v>
      </c>
      <c r="M75" s="2" t="inlineStr">
        <is>
          <t>2026-09-13T08:17:11Z</t>
        </is>
      </c>
      <c r="N75" s="2" t="inlineStr">
        <is>
          <t>2026-09-13T14:40:41Z</t>
        </is>
      </c>
      <c r="O75" s="2" t="n">
        <v>23010</v>
      </c>
      <c r="P75" s="2" t="n">
        <v>0</v>
      </c>
      <c r="Q75" s="8" t="n">
        <v>0</v>
      </c>
      <c r="R75" s="8" t="n">
        <v>533.23</v>
      </c>
      <c r="S75" s="2" t="n">
        <v>157</v>
      </c>
      <c r="T75" s="2" t="n">
        <v>38</v>
      </c>
    </row>
    <row r="76">
      <c r="A76" s="2" t="n">
        <v>75</v>
      </c>
      <c r="B76" s="2" t="inlineStr">
        <is>
          <t>7XAJZMmprJqMBLkG1u2iBaSSpxyzfG1DYy7uSKArPfks</t>
        </is>
      </c>
      <c r="C76" s="2" t="inlineStr">
        <is>
          <t>axiom</t>
        </is>
      </c>
      <c r="E76" s="8" t="n">
        <v>231.87</v>
      </c>
      <c r="F76" s="8" t="n">
        <v>0</v>
      </c>
      <c r="G76" s="8" t="n">
        <v>231.87</v>
      </c>
      <c r="H76" s="2" t="n">
        <v>419.71</v>
      </c>
      <c r="I76" s="8" t="n">
        <v>55.24</v>
      </c>
      <c r="J76" s="8" t="n">
        <v>287.11</v>
      </c>
      <c r="K76" s="2" t="n">
        <v>1</v>
      </c>
      <c r="L76" s="2" t="n">
        <v>1</v>
      </c>
      <c r="M76" s="2" t="inlineStr">
        <is>
          <t>2026-09-13T11:39:43Z</t>
        </is>
      </c>
      <c r="N76" s="2" t="inlineStr">
        <is>
          <t>2026-09-13T12:17:54Z</t>
        </is>
      </c>
      <c r="O76" s="2" t="n">
        <v>2291</v>
      </c>
      <c r="P76" s="2" t="n">
        <v>0</v>
      </c>
      <c r="Q76" s="8" t="n">
        <v>0</v>
      </c>
      <c r="R76" s="8" t="n">
        <v>-2440.59</v>
      </c>
      <c r="S76" s="2" t="n">
        <v>110</v>
      </c>
      <c r="T76" s="2" t="n">
        <v>34</v>
      </c>
    </row>
    <row r="77">
      <c r="A77" s="2" t="n">
        <v>76</v>
      </c>
      <c r="B77" s="2" t="inlineStr">
        <is>
          <t>D3fX4UR2RuBMBazijJpy4yUyb5YZxD8MU88wcuJxPSZD</t>
        </is>
      </c>
      <c r="C77" s="2" t="inlineStr">
        <is>
          <t>fomo</t>
        </is>
      </c>
      <c r="D77" s="2" t="inlineStr">
        <is>
          <t>pupusama</t>
        </is>
      </c>
      <c r="E77" s="8" t="n">
        <v>228.94</v>
      </c>
      <c r="F77" s="8" t="n">
        <v>0</v>
      </c>
      <c r="G77" s="8" t="n">
        <v>228.94</v>
      </c>
      <c r="H77" s="2" t="n">
        <v>200.54</v>
      </c>
      <c r="I77" s="8" t="n">
        <v>114.16</v>
      </c>
      <c r="J77" s="8" t="n">
        <v>343.1</v>
      </c>
      <c r="K77" s="2" t="n">
        <v>1</v>
      </c>
      <c r="L77" s="2" t="n">
        <v>5</v>
      </c>
      <c r="M77" s="2" t="inlineStr">
        <is>
          <t>2026-09-13T08:51:25Z</t>
        </is>
      </c>
      <c r="N77" s="2" t="inlineStr">
        <is>
          <t>2026-09-13T14:29:24Z</t>
        </is>
      </c>
      <c r="O77" s="2" t="n">
        <v>20279</v>
      </c>
      <c r="P77" s="2" t="n">
        <v>0</v>
      </c>
      <c r="Q77" s="8" t="n">
        <v>0</v>
      </c>
      <c r="R77" s="8" t="n">
        <v>-404.72</v>
      </c>
      <c r="S77" s="2" t="n">
        <v>411</v>
      </c>
      <c r="T77" s="2" t="n">
        <v>122</v>
      </c>
    </row>
    <row r="78">
      <c r="A78" s="2" t="n">
        <v>77</v>
      </c>
      <c r="B78" s="2" t="inlineStr">
        <is>
          <t>3PwXa9BRA2sUdjtcGxs4bVLBau2dHTuZwtb6CbpTpdvA</t>
        </is>
      </c>
      <c r="C78" s="2" t="inlineStr">
        <is>
          <t>terminal;axiom;pumpfun-app</t>
        </is>
      </c>
      <c r="D78" s="2" t="inlineStr">
        <is>
          <t>MarlonTrades</t>
        </is>
      </c>
      <c r="E78" s="8" t="n">
        <v>225.32</v>
      </c>
      <c r="F78" s="8" t="n">
        <v>0</v>
      </c>
      <c r="G78" s="8" t="n">
        <v>225.32</v>
      </c>
      <c r="H78" s="2" t="n">
        <v>107.28</v>
      </c>
      <c r="I78" s="8" t="n">
        <v>210.03</v>
      </c>
      <c r="J78" s="8" t="n">
        <v>435.35</v>
      </c>
      <c r="K78" s="2" t="n">
        <v>3</v>
      </c>
      <c r="L78" s="2" t="n">
        <v>2</v>
      </c>
      <c r="M78" s="2" t="inlineStr">
        <is>
          <t>2026-09-13T07:32:41Z</t>
        </is>
      </c>
      <c r="N78" s="2" t="inlineStr">
        <is>
          <t>2026-09-13T07:41:01Z</t>
        </is>
      </c>
      <c r="O78" s="2" t="n">
        <v>501</v>
      </c>
      <c r="P78" s="2" t="n">
        <v>0</v>
      </c>
      <c r="Q78" s="8" t="n">
        <v>0</v>
      </c>
      <c r="R78" s="8" t="n">
        <v>185699.39</v>
      </c>
      <c r="S78" s="2" t="n">
        <v>18451</v>
      </c>
      <c r="T78" s="2" t="n">
        <v>5293</v>
      </c>
    </row>
    <row r="79">
      <c r="A79" s="2" t="n">
        <v>78</v>
      </c>
      <c r="B79" s="2" t="inlineStr">
        <is>
          <t>5niPEBJY9s8n783NNHvihp89hGApt4RU5EsdTnWNm4cF</t>
        </is>
      </c>
      <c r="C79" s="2" t="inlineStr">
        <is>
          <t>terminal;axiom</t>
        </is>
      </c>
      <c r="E79" s="8" t="n">
        <v>223.75</v>
      </c>
      <c r="F79" s="8" t="n">
        <v>0</v>
      </c>
      <c r="G79" s="8" t="n">
        <v>223.75</v>
      </c>
      <c r="H79" s="2" t="n">
        <v>0</v>
      </c>
      <c r="I79" s="8" t="n">
        <v>0</v>
      </c>
      <c r="J79" s="8" t="n">
        <v>223.75</v>
      </c>
      <c r="K79" s="2" t="n">
        <v>0</v>
      </c>
      <c r="L79" s="2" t="n">
        <v>1</v>
      </c>
      <c r="M79" s="2" t="inlineStr">
        <is>
          <t>2026-09-13T07:39:51Z</t>
        </is>
      </c>
      <c r="N79" s="2" t="inlineStr">
        <is>
          <t>2026-09-13T07:39:51Z</t>
        </is>
      </c>
      <c r="P79" s="2" t="n">
        <v>0</v>
      </c>
      <c r="Q79" s="8" t="n">
        <v>0</v>
      </c>
      <c r="R79" s="8" t="n">
        <v>8682.83</v>
      </c>
      <c r="S79" s="2" t="n">
        <v>2525</v>
      </c>
      <c r="T79" s="2" t="n">
        <v>693</v>
      </c>
    </row>
    <row r="80">
      <c r="A80" s="2" t="n">
        <v>79</v>
      </c>
      <c r="B80" s="2" t="inlineStr">
        <is>
          <t>8gjm18Dmp7Bj5D2e966miisYHG9S75P1aHd6YsBdiK2M</t>
        </is>
      </c>
      <c r="C80" s="2" t="inlineStr">
        <is>
          <t>pumpfun-app</t>
        </is>
      </c>
      <c r="D80" s="2" t="inlineStr">
        <is>
          <t>Idome</t>
        </is>
      </c>
      <c r="E80" s="8" t="n">
        <v>222.74</v>
      </c>
      <c r="F80" s="8" t="n">
        <v>0</v>
      </c>
      <c r="G80" s="8" t="n">
        <v>222.74</v>
      </c>
      <c r="H80" s="2" t="n">
        <v>80.26000000000001</v>
      </c>
      <c r="I80" s="8" t="n">
        <v>277.52</v>
      </c>
      <c r="J80" s="8" t="n">
        <v>500.25</v>
      </c>
      <c r="K80" s="2" t="n">
        <v>11</v>
      </c>
      <c r="L80" s="2" t="n">
        <v>4</v>
      </c>
      <c r="M80" s="2" t="inlineStr">
        <is>
          <t>2026-09-13T07:35:05Z</t>
        </is>
      </c>
      <c r="N80" s="2" t="inlineStr">
        <is>
          <t>2026-09-13T18:34:14Z</t>
        </is>
      </c>
      <c r="O80" s="2" t="n">
        <v>39548</v>
      </c>
      <c r="P80" s="2" t="n">
        <v>0</v>
      </c>
      <c r="Q80" s="8" t="n">
        <v>0</v>
      </c>
      <c r="R80" s="8" t="n">
        <v>-7139.11</v>
      </c>
      <c r="S80" s="2" t="n">
        <v>8070</v>
      </c>
      <c r="T80" s="2" t="n">
        <v>1765</v>
      </c>
    </row>
    <row r="81">
      <c r="A81" s="2" t="n">
        <v>80</v>
      </c>
      <c r="B81" s="2" t="inlineStr">
        <is>
          <t>897GsVaFTWsSqHsT8Uiwsfc7XXqDBCEGcofmq7nRmEPA</t>
        </is>
      </c>
      <c r="C81" s="2" t="inlineStr">
        <is>
          <t>terminal;pumpfun-app;bloom</t>
        </is>
      </c>
      <c r="D81" s="2" t="inlineStr">
        <is>
          <t>Ayze_</t>
        </is>
      </c>
      <c r="E81" s="8" t="n">
        <v>221.25</v>
      </c>
      <c r="F81" s="8" t="n">
        <v>0</v>
      </c>
      <c r="G81" s="8" t="n">
        <v>221.25</v>
      </c>
      <c r="H81" s="2" t="n">
        <v>8.869999999999999</v>
      </c>
      <c r="I81" s="8" t="n">
        <v>2493.33</v>
      </c>
      <c r="J81" s="8" t="n">
        <v>2714.58</v>
      </c>
      <c r="K81" s="2" t="n">
        <v>1</v>
      </c>
      <c r="L81" s="2" t="n">
        <v>4</v>
      </c>
      <c r="M81" s="2" t="inlineStr">
        <is>
          <t>2026-09-13T11:26:14Z</t>
        </is>
      </c>
      <c r="N81" s="2" t="inlineStr">
        <is>
          <t>2026-09-13T11:32:39Z</t>
        </is>
      </c>
      <c r="O81" s="2" t="n">
        <v>385</v>
      </c>
      <c r="P81" s="2" t="n">
        <v>0</v>
      </c>
      <c r="Q81" s="8" t="n">
        <v>0</v>
      </c>
      <c r="R81" s="8" t="n">
        <v>110783.38</v>
      </c>
      <c r="S81" s="2" t="n">
        <v>10684</v>
      </c>
      <c r="T81" s="2" t="n">
        <v>4057</v>
      </c>
    </row>
    <row r="82">
      <c r="A82" s="2" t="n">
        <v>81</v>
      </c>
      <c r="B82" s="2" t="inlineStr">
        <is>
          <t>5gwMz5DsqtrZjfaqPv8Rzeg5PsMQiFmGpVhB92eQyFQ8</t>
        </is>
      </c>
      <c r="C82" s="2" t="inlineStr">
        <is>
          <t>fomo</t>
        </is>
      </c>
      <c r="D82" s="2" t="inlineStr">
        <is>
          <t>The Process</t>
        </is>
      </c>
      <c r="E82" s="8" t="n">
        <v>216.22</v>
      </c>
      <c r="F82" s="8" t="n">
        <v>0</v>
      </c>
      <c r="G82" s="8" t="n">
        <v>216.22</v>
      </c>
      <c r="H82" s="2" t="n">
        <v>44.96</v>
      </c>
      <c r="I82" s="8" t="n">
        <v>480.97</v>
      </c>
      <c r="J82" s="8" t="n">
        <v>697.1900000000001</v>
      </c>
      <c r="K82" s="2" t="n">
        <v>6</v>
      </c>
      <c r="L82" s="2" t="n">
        <v>4</v>
      </c>
      <c r="M82" s="2" t="inlineStr">
        <is>
          <t>2026-09-13T08:08:30Z</t>
        </is>
      </c>
      <c r="N82" s="2" t="inlineStr">
        <is>
          <t>2026-09-13T21:29:48Z</t>
        </is>
      </c>
      <c r="O82" s="2" t="n">
        <v>2761509</v>
      </c>
      <c r="P82" s="2" t="n">
        <v>4.65661e-10</v>
      </c>
      <c r="Q82" s="8" t="n">
        <v>0</v>
      </c>
      <c r="R82" s="8" t="n">
        <v>-7421.59</v>
      </c>
      <c r="S82" s="2" t="n">
        <v>902</v>
      </c>
      <c r="T82" s="2" t="n">
        <v>247</v>
      </c>
    </row>
    <row r="83">
      <c r="A83" s="2" t="n">
        <v>82</v>
      </c>
      <c r="B83" s="2" t="inlineStr">
        <is>
          <t>ENyBLxtexGkgcNheAc4PpAjo7889wQADhxAQLCoE7kdD</t>
        </is>
      </c>
      <c r="E83" s="8" t="n">
        <v>213.2</v>
      </c>
      <c r="F83" s="8" t="n">
        <v>0</v>
      </c>
      <c r="G83" s="8" t="n">
        <v>213.2</v>
      </c>
      <c r="H83" s="2" t="n">
        <v>162.84</v>
      </c>
      <c r="I83" s="8" t="n">
        <v>130.93</v>
      </c>
      <c r="J83" s="8" t="n">
        <v>344.13</v>
      </c>
      <c r="K83" s="2" t="n">
        <v>1</v>
      </c>
      <c r="L83" s="2" t="n">
        <v>2</v>
      </c>
      <c r="M83" s="2" t="inlineStr">
        <is>
          <t>2026-09-13T08:41:59Z</t>
        </is>
      </c>
      <c r="N83" s="2" t="inlineStr">
        <is>
          <t>2026-09-13T09:52:11Z</t>
        </is>
      </c>
      <c r="O83" s="2" t="n">
        <v>4212</v>
      </c>
      <c r="P83" s="2" t="n">
        <v>0</v>
      </c>
      <c r="Q83" s="8" t="n">
        <v>0</v>
      </c>
      <c r="R83" s="8" t="n">
        <v>1828.29</v>
      </c>
      <c r="S83" s="2" t="n">
        <v>129</v>
      </c>
      <c r="T83" s="2" t="n">
        <v>66</v>
      </c>
    </row>
    <row r="84">
      <c r="A84" s="2" t="n">
        <v>83</v>
      </c>
      <c r="B84" s="2" t="inlineStr">
        <is>
          <t>6vBcVmSJWR6N91WYFwEoN6k9mnEqYAgQ8grjV919hLLr</t>
        </is>
      </c>
      <c r="C84" s="2" t="inlineStr">
        <is>
          <t>terminal;pumpfun-app;sns</t>
        </is>
      </c>
      <c r="D84" s="2" t="inlineStr">
        <is>
          <t>wellsalmon58866</t>
        </is>
      </c>
      <c r="E84" s="8" t="n">
        <v>207.36</v>
      </c>
      <c r="F84" s="8" t="n">
        <v>0</v>
      </c>
      <c r="G84" s="8" t="n">
        <v>207.36</v>
      </c>
      <c r="H84" s="2" t="n">
        <v>103.57</v>
      </c>
      <c r="I84" s="8" t="n">
        <v>200.2</v>
      </c>
      <c r="J84" s="8" t="n">
        <v>407.56</v>
      </c>
      <c r="K84" s="2" t="n">
        <v>3</v>
      </c>
      <c r="L84" s="2" t="n">
        <v>1</v>
      </c>
      <c r="M84" s="2" t="inlineStr">
        <is>
          <t>2026-09-13T08:41:44Z</t>
        </is>
      </c>
      <c r="N84" s="2" t="inlineStr">
        <is>
          <t>2026-09-13T09:02:27Z</t>
        </is>
      </c>
      <c r="O84" s="2" t="n">
        <v>1243</v>
      </c>
      <c r="P84" s="2" t="n">
        <v>0</v>
      </c>
      <c r="Q84" s="8" t="n">
        <v>0</v>
      </c>
      <c r="R84" s="8" t="n">
        <v>2502.12</v>
      </c>
      <c r="S84" s="2" t="n">
        <v>491</v>
      </c>
      <c r="T84" s="2" t="n">
        <v>185</v>
      </c>
    </row>
    <row r="85">
      <c r="A85" s="2" t="n">
        <v>84</v>
      </c>
      <c r="B85" s="2" t="inlineStr">
        <is>
          <t>C6FjkGqeZiBcLEjaV6FXjouwgG2zDDWifS6QKd922eHd</t>
        </is>
      </c>
      <c r="C85" s="2" t="inlineStr">
        <is>
          <t>axiom;pumpfun-app</t>
        </is>
      </c>
      <c r="D85" s="2" t="inlineStr">
        <is>
          <t>turbolobsterpro</t>
        </is>
      </c>
      <c r="E85" s="8" t="n">
        <v>203.61</v>
      </c>
      <c r="F85" s="8" t="n">
        <v>0</v>
      </c>
      <c r="G85" s="8" t="n">
        <v>203.61</v>
      </c>
      <c r="H85" s="2" t="n">
        <v>169.59</v>
      </c>
      <c r="I85" s="8" t="n">
        <v>120.06</v>
      </c>
      <c r="J85" s="8" t="n">
        <v>323.67</v>
      </c>
      <c r="K85" s="2" t="n">
        <v>3</v>
      </c>
      <c r="L85" s="2" t="n">
        <v>2</v>
      </c>
      <c r="M85" s="2" t="inlineStr">
        <is>
          <t>2026-09-13T07:41:07Z</t>
        </is>
      </c>
      <c r="N85" s="2" t="inlineStr">
        <is>
          <t>2026-09-13T20:14:58Z</t>
        </is>
      </c>
      <c r="O85" s="2" t="n">
        <v>2763151</v>
      </c>
      <c r="P85" s="2" t="n">
        <v>4.65661e-10</v>
      </c>
      <c r="Q85" s="8" t="n">
        <v>0</v>
      </c>
      <c r="R85" s="8" t="n">
        <v>-15712.18</v>
      </c>
      <c r="S85" s="2" t="n">
        <v>24637</v>
      </c>
      <c r="T85" s="2" t="n">
        <v>4862</v>
      </c>
    </row>
    <row r="86">
      <c r="A86" s="2" t="n">
        <v>85</v>
      </c>
      <c r="B86" s="2" t="inlineStr">
        <is>
          <t>HhC5HDu5NJKxucYCUjPJqzVi4yEDNune7rg7XnK2QZ8P</t>
        </is>
      </c>
      <c r="C86" s="2" t="inlineStr">
        <is>
          <t>terminal;pumpfun-app;developer</t>
        </is>
      </c>
      <c r="D86" s="2" t="inlineStr">
        <is>
          <t>KindlyCalmSaver</t>
        </is>
      </c>
      <c r="E86" s="8" t="n">
        <v>203.12</v>
      </c>
      <c r="F86" s="8" t="n">
        <v>0</v>
      </c>
      <c r="G86" s="8" t="n">
        <v>203.12</v>
      </c>
      <c r="H86" s="2" t="n">
        <v>0</v>
      </c>
      <c r="I86" s="8" t="n">
        <v>0</v>
      </c>
      <c r="J86" s="8" t="n">
        <v>203.12</v>
      </c>
      <c r="K86" s="2" t="n">
        <v>0</v>
      </c>
      <c r="L86" s="2" t="n">
        <v>3</v>
      </c>
      <c r="M86" s="2" t="inlineStr">
        <is>
          <t>2026-09-13T07:31:42Z</t>
        </is>
      </c>
      <c r="N86" s="2" t="inlineStr">
        <is>
          <t>2026-09-13T07:31:44Z</t>
        </is>
      </c>
      <c r="P86" s="2" t="n">
        <v>0</v>
      </c>
      <c r="Q86" s="8" t="n">
        <v>0</v>
      </c>
      <c r="R86" s="8" t="n">
        <v>20881.41</v>
      </c>
      <c r="S86" s="2" t="n">
        <v>3374</v>
      </c>
      <c r="T86" s="2" t="n">
        <v>550</v>
      </c>
    </row>
    <row r="87">
      <c r="A87" s="2" t="n">
        <v>86</v>
      </c>
      <c r="B87" s="2" t="inlineStr">
        <is>
          <t>SBkvcg5Hjarc6AmSAcqvS6RqyxC6grkDEpQedAyYxBK</t>
        </is>
      </c>
      <c r="C87" s="2" t="inlineStr">
        <is>
          <t>gmgn</t>
        </is>
      </c>
      <c r="E87" s="8" t="n">
        <v>200.05</v>
      </c>
      <c r="F87" s="8" t="n">
        <v>0</v>
      </c>
      <c r="G87" s="8" t="n">
        <v>200.05</v>
      </c>
      <c r="H87" s="2" t="n">
        <v>65419.57</v>
      </c>
      <c r="I87" s="8" t="n">
        <v>0.31</v>
      </c>
      <c r="J87" s="8" t="n">
        <v>200.35</v>
      </c>
      <c r="K87" s="2" t="n">
        <v>1</v>
      </c>
      <c r="L87" s="2" t="n">
        <v>1</v>
      </c>
      <c r="M87" s="2" t="inlineStr">
        <is>
          <t>2026-09-13T09:33:52Z</t>
        </is>
      </c>
      <c r="N87" s="2" t="inlineStr">
        <is>
          <t>2026-09-13T09:35:37Z</t>
        </is>
      </c>
      <c r="O87" s="2" t="n">
        <v>105</v>
      </c>
      <c r="P87" s="2" t="n">
        <v>0</v>
      </c>
      <c r="Q87" s="8" t="n">
        <v>0</v>
      </c>
      <c r="R87" s="8" t="n">
        <v>5494.23</v>
      </c>
      <c r="S87" s="2" t="n">
        <v>1635</v>
      </c>
      <c r="T87" s="2" t="n">
        <v>670</v>
      </c>
    </row>
    <row r="88">
      <c r="A88" s="2" t="n">
        <v>87</v>
      </c>
      <c r="B88" s="2" t="inlineStr">
        <is>
          <t>4uzDxMLgqy2TFmkqNwtpfMh9cufxoUcZS9S4uZDVEM3E</t>
        </is>
      </c>
      <c r="C88" s="2" t="inlineStr">
        <is>
          <t>fomo</t>
        </is>
      </c>
      <c r="D88" s="2" t="inlineStr">
        <is>
          <t>Nepidar Ебучая Бананья</t>
        </is>
      </c>
      <c r="E88" s="8" t="n">
        <v>198.76</v>
      </c>
      <c r="F88" s="8" t="n">
        <v>0</v>
      </c>
      <c r="G88" s="8" t="n">
        <v>198.76</v>
      </c>
      <c r="H88" s="2" t="n">
        <v>117.96</v>
      </c>
      <c r="I88" s="8" t="n">
        <v>168.49</v>
      </c>
      <c r="J88" s="8" t="n">
        <v>367.25</v>
      </c>
      <c r="K88" s="2" t="n">
        <v>3</v>
      </c>
      <c r="L88" s="2" t="n">
        <v>5</v>
      </c>
      <c r="M88" s="2" t="inlineStr">
        <is>
          <t>2026-09-13T09:28:15Z</t>
        </is>
      </c>
      <c r="N88" s="2" t="inlineStr">
        <is>
          <t>2026-09-13T13:31:27Z</t>
        </is>
      </c>
      <c r="O88" s="2" t="n">
        <v>14592</v>
      </c>
      <c r="P88" s="2" t="n">
        <v>0</v>
      </c>
      <c r="Q88" s="8" t="n">
        <v>0</v>
      </c>
      <c r="R88" s="8" t="n">
        <v>-1424.1</v>
      </c>
      <c r="S88" s="2" t="n">
        <v>196</v>
      </c>
      <c r="T88" s="2" t="n">
        <v>39</v>
      </c>
    </row>
    <row r="89">
      <c r="A89" s="2" t="n">
        <v>88</v>
      </c>
      <c r="B89" s="2" t="inlineStr">
        <is>
          <t>DnFBY7HPGZzCqLcYfkeyvsNqqcF6c1q84z8iJZfZvUat</t>
        </is>
      </c>
      <c r="E89" s="8" t="n">
        <v>196.5</v>
      </c>
      <c r="F89" s="8" t="n">
        <v>0</v>
      </c>
      <c r="G89" s="8" t="n">
        <v>196.5</v>
      </c>
      <c r="H89" s="2" t="n">
        <v>0</v>
      </c>
      <c r="I89" s="8" t="n">
        <v>0</v>
      </c>
      <c r="J89" s="8" t="n">
        <v>196.5</v>
      </c>
      <c r="K89" s="2" t="n">
        <v>0</v>
      </c>
      <c r="L89" s="2" t="n">
        <v>6</v>
      </c>
      <c r="M89" s="2" t="inlineStr">
        <is>
          <t>2026-09-13T08:04:05Z</t>
        </is>
      </c>
      <c r="N89" s="2" t="inlineStr">
        <is>
          <t>2026-09-13T08:04:19Z</t>
        </is>
      </c>
      <c r="P89" s="2" t="n">
        <v>0</v>
      </c>
      <c r="Q89" s="8" t="n">
        <v>0</v>
      </c>
      <c r="R89" s="8" t="n">
        <v>93769.96000000001</v>
      </c>
      <c r="S89" s="2" t="n">
        <v>13844</v>
      </c>
      <c r="T89" s="2" t="n">
        <v>1495</v>
      </c>
    </row>
    <row r="90">
      <c r="A90" s="2" t="n">
        <v>89</v>
      </c>
      <c r="B90" s="2" t="inlineStr">
        <is>
          <t>5hCaQz3GgFBhULcygoq7bsfNr6JkBrSu4aA2mW6uTtsu</t>
        </is>
      </c>
      <c r="E90" s="8" t="n">
        <v>196.3</v>
      </c>
      <c r="F90" s="8" t="n">
        <v>0</v>
      </c>
      <c r="G90" s="8" t="n">
        <v>196.3</v>
      </c>
      <c r="H90" s="2" t="n">
        <v>63.68</v>
      </c>
      <c r="I90" s="8" t="n">
        <v>308.28</v>
      </c>
      <c r="J90" s="8" t="n">
        <v>504.58</v>
      </c>
      <c r="K90" s="2" t="n">
        <v>2</v>
      </c>
      <c r="L90" s="2" t="n">
        <v>3</v>
      </c>
      <c r="M90" s="2" t="inlineStr">
        <is>
          <t>2026-09-13T08:50:07Z</t>
        </is>
      </c>
      <c r="N90" s="2" t="inlineStr">
        <is>
          <t>2026-09-13T09:58:16Z</t>
        </is>
      </c>
      <c r="O90" s="2" t="n">
        <v>4089</v>
      </c>
      <c r="P90" s="2" t="n">
        <v>0</v>
      </c>
      <c r="Q90" s="8" t="n">
        <v>0</v>
      </c>
      <c r="R90" s="8" t="n">
        <v>-12195.22</v>
      </c>
      <c r="S90" s="2" t="n">
        <v>5645</v>
      </c>
      <c r="T90" s="2" t="n">
        <v>1555</v>
      </c>
    </row>
    <row r="91">
      <c r="A91" s="2" t="n">
        <v>90</v>
      </c>
      <c r="B91" s="2" t="inlineStr">
        <is>
          <t>B3fEBTtBjjgAqWRX5TDsMJrZoYmeVhr7qVum8EHZQDB1</t>
        </is>
      </c>
      <c r="C91" s="2" t="inlineStr">
        <is>
          <t>gmgn</t>
        </is>
      </c>
      <c r="E91" s="8" t="n">
        <v>194.97</v>
      </c>
      <c r="F91" s="8" t="n">
        <v>0.03</v>
      </c>
      <c r="G91" s="8" t="n">
        <v>195</v>
      </c>
      <c r="H91" s="2" t="n">
        <v>63622.03</v>
      </c>
      <c r="I91" s="8" t="n">
        <v>0.31</v>
      </c>
      <c r="J91" s="8" t="n">
        <v>195.28</v>
      </c>
      <c r="K91" s="2" t="n">
        <v>1</v>
      </c>
      <c r="L91" s="2" t="n">
        <v>2</v>
      </c>
      <c r="M91" s="2" t="inlineStr">
        <is>
          <t>2026-09-13T11:27:03Z</t>
        </is>
      </c>
      <c r="N91" s="2" t="inlineStr">
        <is>
          <t>2026-09-13T13:38:47Z</t>
        </is>
      </c>
      <c r="O91" s="2" t="n">
        <v>2749596</v>
      </c>
      <c r="P91" s="2" t="n">
        <v>5784.282920999976</v>
      </c>
      <c r="Q91" s="8" t="n">
        <v>0.03</v>
      </c>
      <c r="R91" s="8" t="n">
        <v>-13816.69</v>
      </c>
      <c r="S91" s="2" t="n">
        <v>5663</v>
      </c>
      <c r="T91" s="2" t="n">
        <v>1345</v>
      </c>
    </row>
    <row r="92">
      <c r="A92" s="2" t="n">
        <v>91</v>
      </c>
      <c r="B92" s="2" t="inlineStr">
        <is>
          <t>3S4nLdaQpq1Gh6rYhM8TzAe8pd38dh5fqPZKHyQaoKs9</t>
        </is>
      </c>
      <c r="E92" s="8" t="n">
        <v>190.13</v>
      </c>
      <c r="F92" s="8" t="n">
        <v>0</v>
      </c>
      <c r="G92" s="8" t="n">
        <v>190.13</v>
      </c>
      <c r="H92" s="2" t="n">
        <v>225.59</v>
      </c>
      <c r="I92" s="8" t="n">
        <v>84.28</v>
      </c>
      <c r="J92" s="8" t="n">
        <v>274.42</v>
      </c>
      <c r="K92" s="2" t="n">
        <v>2</v>
      </c>
      <c r="L92" s="2" t="n">
        <v>1</v>
      </c>
      <c r="M92" s="2" t="inlineStr">
        <is>
          <t>2026-09-13T08:00:50Z</t>
        </is>
      </c>
      <c r="N92" s="2" t="inlineStr">
        <is>
          <t>2026-09-13T08:18:32Z</t>
        </is>
      </c>
      <c r="O92" s="2" t="n">
        <v>1062</v>
      </c>
      <c r="P92" s="2" t="n">
        <v>0</v>
      </c>
      <c r="Q92" s="8" t="n">
        <v>0</v>
      </c>
      <c r="R92" s="8" t="n">
        <v>1530.83</v>
      </c>
      <c r="S92" s="2" t="n">
        <v>754</v>
      </c>
      <c r="T92" s="2" t="n">
        <v>246</v>
      </c>
    </row>
    <row r="93">
      <c r="A93" s="2" t="n">
        <v>92</v>
      </c>
      <c r="B93" s="2" t="inlineStr">
        <is>
          <t>HJjKHWu4KuCFfwUZi4VwifMWFsaw3RMbg2nK22cDRcPz</t>
        </is>
      </c>
      <c r="E93" s="8" t="n">
        <v>189.12</v>
      </c>
      <c r="F93" s="8" t="n">
        <v>0</v>
      </c>
      <c r="G93" s="8" t="n">
        <v>189.12</v>
      </c>
      <c r="H93" s="2" t="n">
        <v>47.22</v>
      </c>
      <c r="I93" s="8" t="n">
        <v>400.48</v>
      </c>
      <c r="J93" s="8" t="n">
        <v>589.6</v>
      </c>
      <c r="K93" s="2" t="n">
        <v>10</v>
      </c>
      <c r="L93" s="2" t="n">
        <v>5</v>
      </c>
      <c r="M93" s="2" t="inlineStr">
        <is>
          <t>2026-09-13T07:42:56Z</t>
        </is>
      </c>
      <c r="N93" s="2" t="inlineStr">
        <is>
          <t>2026-09-13T15:27:54Z</t>
        </is>
      </c>
      <c r="O93" s="2" t="n">
        <v>27898</v>
      </c>
      <c r="P93" s="2" t="n">
        <v>0</v>
      </c>
      <c r="Q93" s="8" t="n">
        <v>0</v>
      </c>
      <c r="R93" s="8" t="n">
        <v>632.27</v>
      </c>
      <c r="S93" s="2" t="n">
        <v>2051</v>
      </c>
      <c r="T93" s="2" t="n">
        <v>285</v>
      </c>
    </row>
    <row r="94">
      <c r="A94" s="2" t="n">
        <v>93</v>
      </c>
      <c r="B94" s="2" t="inlineStr">
        <is>
          <t>2o5HWqoQmSPkf948tGotVtZwT6NhyQEZ7qrkxsztLuLZ</t>
        </is>
      </c>
      <c r="E94" s="8" t="n">
        <v>188.11</v>
      </c>
      <c r="F94" s="8" t="n">
        <v>0</v>
      </c>
      <c r="G94" s="8" t="n">
        <v>188.11</v>
      </c>
      <c r="H94" s="2" t="n">
        <v>0</v>
      </c>
      <c r="I94" s="8" t="n">
        <v>0</v>
      </c>
      <c r="J94" s="8" t="n">
        <v>188.11</v>
      </c>
      <c r="K94" s="2" t="n">
        <v>0</v>
      </c>
      <c r="L94" s="2" t="n">
        <v>2</v>
      </c>
      <c r="M94" s="2" t="inlineStr">
        <is>
          <t>2026-09-13T08:44:39Z</t>
        </is>
      </c>
      <c r="N94" s="2" t="inlineStr">
        <is>
          <t>2026-09-13T08:44:53Z</t>
        </is>
      </c>
      <c r="P94" s="2" t="n">
        <v>0</v>
      </c>
      <c r="Q94" s="8" t="n">
        <v>0</v>
      </c>
      <c r="R94" s="8" t="n">
        <v>-2385.38</v>
      </c>
      <c r="S94" s="2" t="n">
        <v>181</v>
      </c>
      <c r="T94" s="2" t="n">
        <v>48</v>
      </c>
    </row>
    <row r="95">
      <c r="A95" s="2" t="n">
        <v>94</v>
      </c>
      <c r="B95" s="2" t="inlineStr">
        <is>
          <t>DsVmvFN43RUGyM1bVGUtfVsi2jfWDurme6ecb8yoDYpd</t>
        </is>
      </c>
      <c r="C95" s="2" t="inlineStr">
        <is>
          <t>pumpfun-app</t>
        </is>
      </c>
      <c r="D95" s="2" t="inlineStr">
        <is>
          <t>loomingfish7657</t>
        </is>
      </c>
      <c r="E95" s="8" t="n">
        <v>186.61</v>
      </c>
      <c r="F95" s="8" t="n">
        <v>0</v>
      </c>
      <c r="G95" s="8" t="n">
        <v>186.61</v>
      </c>
      <c r="H95" s="2" t="n">
        <v>93.23</v>
      </c>
      <c r="I95" s="8" t="n">
        <v>200.17</v>
      </c>
      <c r="J95" s="8" t="n">
        <v>386.78</v>
      </c>
      <c r="K95" s="2" t="n">
        <v>2</v>
      </c>
      <c r="L95" s="2" t="n">
        <v>2</v>
      </c>
      <c r="M95" s="2" t="inlineStr">
        <is>
          <t>2026-09-13T08:55:28Z</t>
        </is>
      </c>
      <c r="N95" s="2" t="inlineStr">
        <is>
          <t>2026-09-13T09:58:12Z</t>
        </is>
      </c>
      <c r="O95" s="2" t="n">
        <v>3764</v>
      </c>
      <c r="P95" s="2" t="n">
        <v>0</v>
      </c>
      <c r="Q95" s="8" t="n">
        <v>0</v>
      </c>
      <c r="R95" s="8" t="n">
        <v>-593.35</v>
      </c>
      <c r="S95" s="2" t="n">
        <v>251</v>
      </c>
      <c r="T95" s="2" t="n">
        <v>87</v>
      </c>
    </row>
    <row r="96">
      <c r="A96" s="2" t="n">
        <v>95</v>
      </c>
      <c r="B96" s="2" t="inlineStr">
        <is>
          <t>FHP9kXp9Q3mUjmeQGUHCJW28oaK4ELxphew3XZxJmveF</t>
        </is>
      </c>
      <c r="C96" s="2" t="inlineStr">
        <is>
          <t>gmgn</t>
        </is>
      </c>
      <c r="E96" s="8" t="n">
        <v>184.65</v>
      </c>
      <c r="F96" s="8" t="n">
        <v>0</v>
      </c>
      <c r="G96" s="8" t="n">
        <v>184.65</v>
      </c>
      <c r="H96" s="2" t="n">
        <v>59592.23</v>
      </c>
      <c r="I96" s="8" t="n">
        <v>0.31</v>
      </c>
      <c r="J96" s="8" t="n">
        <v>184.96</v>
      </c>
      <c r="K96" s="2" t="n">
        <v>1</v>
      </c>
      <c r="L96" s="2" t="n">
        <v>1</v>
      </c>
      <c r="M96" s="2" t="inlineStr">
        <is>
          <t>2026-09-13T08:09:19Z</t>
        </is>
      </c>
      <c r="N96" s="2" t="inlineStr">
        <is>
          <t>2026-09-13T08:33:11Z</t>
        </is>
      </c>
      <c r="O96" s="2" t="n">
        <v>1432</v>
      </c>
      <c r="P96" s="2" t="n">
        <v>0</v>
      </c>
      <c r="Q96" s="8" t="n">
        <v>0</v>
      </c>
      <c r="R96" s="8" t="n">
        <v>10195.99</v>
      </c>
      <c r="S96" s="2" t="n">
        <v>5381</v>
      </c>
      <c r="T96" s="2" t="n">
        <v>1592</v>
      </c>
    </row>
    <row r="97">
      <c r="A97" s="2" t="n">
        <v>96</v>
      </c>
      <c r="B97" s="2" t="inlineStr">
        <is>
          <t>8oDNBTruNf2rgB6YYokgkQbYNP78A7fKL3EpX7bfuAzt</t>
        </is>
      </c>
      <c r="C97" s="2" t="inlineStr">
        <is>
          <t>pumpfun-app;sns</t>
        </is>
      </c>
      <c r="D97" s="2" t="inlineStr">
        <is>
          <t>wellwellwell</t>
        </is>
      </c>
      <c r="E97" s="8" t="n">
        <v>182.73</v>
      </c>
      <c r="F97" s="8" t="n">
        <v>0</v>
      </c>
      <c r="G97" s="8" t="n">
        <v>182.73</v>
      </c>
      <c r="H97" s="2" t="n">
        <v>507.07</v>
      </c>
      <c r="I97" s="8" t="n">
        <v>36.04</v>
      </c>
      <c r="J97" s="8" t="n">
        <v>218.77</v>
      </c>
      <c r="K97" s="2" t="n">
        <v>3</v>
      </c>
      <c r="L97" s="2" t="n">
        <v>5</v>
      </c>
      <c r="M97" s="2" t="inlineStr">
        <is>
          <t>2026-09-13T07:38:01Z</t>
        </is>
      </c>
      <c r="N97" s="2" t="inlineStr">
        <is>
          <t>2026-09-13T14:22:43Z</t>
        </is>
      </c>
      <c r="O97" s="2" t="n">
        <v>24282</v>
      </c>
      <c r="P97" s="2" t="n">
        <v>0</v>
      </c>
      <c r="Q97" s="8" t="n">
        <v>0</v>
      </c>
      <c r="R97" s="8" t="n">
        <v>2815.2</v>
      </c>
      <c r="S97" s="2" t="n">
        <v>8266</v>
      </c>
      <c r="T97" s="2" t="n">
        <v>3123</v>
      </c>
    </row>
    <row r="98">
      <c r="A98" s="2" t="n">
        <v>97</v>
      </c>
      <c r="B98" s="2" t="inlineStr">
        <is>
          <t>Fc6bWobLJHANxT4fDv6ppgJkV2w2tkqjtAtJjyoRNBoM</t>
        </is>
      </c>
      <c r="C98" s="2" t="inlineStr">
        <is>
          <t>gmgn</t>
        </is>
      </c>
      <c r="E98" s="8" t="n">
        <v>179.35</v>
      </c>
      <c r="F98" s="8" t="n">
        <v>0</v>
      </c>
      <c r="G98" s="8" t="n">
        <v>179.35</v>
      </c>
      <c r="H98" s="2" t="n">
        <v>23074.4</v>
      </c>
      <c r="I98" s="8" t="n">
        <v>0.78</v>
      </c>
      <c r="J98" s="8" t="n">
        <v>180.13</v>
      </c>
      <c r="K98" s="2" t="n">
        <v>2</v>
      </c>
      <c r="L98" s="2" t="n">
        <v>13</v>
      </c>
      <c r="M98" s="2" t="inlineStr">
        <is>
          <t>2026-09-13T07:42:26Z</t>
        </is>
      </c>
      <c r="N98" s="2" t="inlineStr">
        <is>
          <t>2026-09-13T11:37:07Z</t>
        </is>
      </c>
      <c r="O98" s="2" t="n">
        <v>14082</v>
      </c>
      <c r="P98" s="2" t="n">
        <v>0</v>
      </c>
      <c r="Q98" s="8" t="n">
        <v>0</v>
      </c>
      <c r="R98" s="8" t="n">
        <v>1498.78</v>
      </c>
      <c r="S98" s="2" t="n">
        <v>644</v>
      </c>
      <c r="T98" s="2" t="n">
        <v>238</v>
      </c>
    </row>
    <row r="99">
      <c r="A99" s="2" t="n">
        <v>98</v>
      </c>
      <c r="B99" s="2" t="inlineStr">
        <is>
          <t>2NM7ZxPw3vmSkE6szGudWVoovnyzpKHNcFtG47ZafC3d</t>
        </is>
      </c>
      <c r="C99" s="2" t="inlineStr">
        <is>
          <t>gmgn;pumpfun-app</t>
        </is>
      </c>
      <c r="D99" s="2" t="inlineStr">
        <is>
          <t>solstasher777</t>
        </is>
      </c>
      <c r="E99" s="8" t="n">
        <v>177.56</v>
      </c>
      <c r="F99" s="8" t="n">
        <v>0</v>
      </c>
      <c r="G99" s="8" t="n">
        <v>177.56</v>
      </c>
      <c r="H99" s="2" t="n">
        <v>58.21</v>
      </c>
      <c r="I99" s="8" t="n">
        <v>305</v>
      </c>
      <c r="J99" s="8" t="n">
        <v>482.56</v>
      </c>
      <c r="K99" s="2" t="n">
        <v>9</v>
      </c>
      <c r="L99" s="2" t="n">
        <v>11</v>
      </c>
      <c r="M99" s="2" t="inlineStr">
        <is>
          <t>2026-09-13T08:05:01Z</t>
        </is>
      </c>
      <c r="N99" s="2" t="inlineStr">
        <is>
          <t>2026-09-13T14:03:29Z</t>
        </is>
      </c>
      <c r="O99" s="2" t="n">
        <v>21508</v>
      </c>
      <c r="P99" s="2" t="n">
        <v>0</v>
      </c>
      <c r="Q99" s="8" t="n">
        <v>0</v>
      </c>
      <c r="R99" s="8" t="n">
        <v>1694.22</v>
      </c>
      <c r="S99" s="2" t="n">
        <v>4769</v>
      </c>
      <c r="T99" s="2" t="n">
        <v>1708</v>
      </c>
    </row>
    <row r="100">
      <c r="A100" s="2" t="n">
        <v>99</v>
      </c>
      <c r="B100" s="2" t="inlineStr">
        <is>
          <t>CCcukkbyKuBmasF2xAwbvGPsqvsLS4KAeMepqSUgoJEm</t>
        </is>
      </c>
      <c r="C100" s="2" t="inlineStr">
        <is>
          <t>gmgn</t>
        </is>
      </c>
      <c r="E100" s="8" t="n">
        <v>173.94</v>
      </c>
      <c r="F100" s="8" t="n">
        <v>0</v>
      </c>
      <c r="G100" s="8" t="n">
        <v>173.94</v>
      </c>
      <c r="H100" s="2" t="n">
        <v>56777.4</v>
      </c>
      <c r="I100" s="8" t="n">
        <v>0.31</v>
      </c>
      <c r="J100" s="8" t="n">
        <v>174.24</v>
      </c>
      <c r="K100" s="2" t="n">
        <v>1</v>
      </c>
      <c r="L100" s="2" t="n">
        <v>1</v>
      </c>
      <c r="M100" s="2" t="inlineStr">
        <is>
          <t>2026-09-13T13:02:23Z</t>
        </is>
      </c>
      <c r="N100" s="2" t="inlineStr">
        <is>
          <t>2026-09-13T13:04:48Z</t>
        </is>
      </c>
      <c r="O100" s="2" t="n">
        <v>145</v>
      </c>
      <c r="P100" s="2" t="n">
        <v>0</v>
      </c>
      <c r="Q100" s="8" t="n">
        <v>0</v>
      </c>
      <c r="R100" s="8" t="n">
        <v>50221.73</v>
      </c>
      <c r="S100" s="2" t="n">
        <v>5691</v>
      </c>
      <c r="T100" s="2" t="n">
        <v>518</v>
      </c>
    </row>
    <row r="101">
      <c r="A101" s="2" t="n">
        <v>100</v>
      </c>
      <c r="B101" s="2" t="inlineStr">
        <is>
          <t>7gMuKn4PCSYZr97FvURZraJ3y7kWL2UMsKQSMMp1dZ1C</t>
        </is>
      </c>
      <c r="E101" s="8" t="n">
        <v>171.86</v>
      </c>
      <c r="F101" s="8" t="n">
        <v>0</v>
      </c>
      <c r="G101" s="8" t="n">
        <v>171.86</v>
      </c>
      <c r="H101" s="2" t="n">
        <v>58.05</v>
      </c>
      <c r="I101" s="8" t="n">
        <v>296.05</v>
      </c>
      <c r="J101" s="8" t="n">
        <v>467.91</v>
      </c>
      <c r="K101" s="2" t="n">
        <v>1</v>
      </c>
      <c r="L101" s="2" t="n">
        <v>1</v>
      </c>
      <c r="M101" s="2" t="inlineStr">
        <is>
          <t>2026-09-13T09:48:44Z</t>
        </is>
      </c>
      <c r="N101" s="2" t="inlineStr">
        <is>
          <t>2026-09-13T09:53:31Z</t>
        </is>
      </c>
      <c r="O101" s="2" t="n">
        <v>286</v>
      </c>
      <c r="P101" s="2" t="n">
        <v>0</v>
      </c>
      <c r="Q101" s="8" t="n">
        <v>0</v>
      </c>
      <c r="R101" s="8" t="n">
        <v>317.5</v>
      </c>
      <c r="S101" s="2" t="n">
        <v>295</v>
      </c>
      <c r="T101" s="2" t="n">
        <v>37</v>
      </c>
    </row>
  </sheetData>
  <autoFilter ref="A1:T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GMGN.</t>
        </is>
      </c>
    </row>
    <row r="2">
      <c r="A2" s="2" t="inlineStr">
        <is>
          <t>Status: gagal</t>
        </is>
      </c>
    </row>
    <row r="3">
      <c r="A3"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90" customWidth="1" min="2" max="2"/>
    <col width="18" customWidth="1" min="3" max="3"/>
    <col width="60" customWidth="1" min="4" max="4"/>
    <col width="50" customWidth="1" min="5" max="5"/>
    <col width="21" customWidth="1" min="6" max="6"/>
    <col width="21" customWidth="1" min="7" max="7"/>
    <col width="14" customWidth="1" min="8" max="8"/>
    <col width="60" customWidth="1" min="9" max="9"/>
    <col width="60" customWidth="1" min="10" max="10"/>
  </cols>
  <sheetData>
    <row r="1">
      <c r="A1" s="1" t="inlineStr">
        <is>
          <t>Log run</t>
        </is>
      </c>
    </row>
    <row r="2"/>
    <row r="3">
      <c r="A3" s="3" t="inlineStr">
        <is>
          <t>Lingkungan dan parameter</t>
        </is>
      </c>
      <c r="B3" s="3" t="n"/>
      <c r="C3" s="3" t="n"/>
      <c r="D3" s="3" t="n"/>
      <c r="E3" s="3" t="n"/>
      <c r="F3" s="3" t="n"/>
      <c r="G3" s="3" t="n"/>
      <c r="H3" s="3" t="n"/>
      <c r="I3" s="3" t="n"/>
      <c r="J3" s="3" t="n"/>
    </row>
    <row r="4">
      <c r="A4" s="2" t="inlineStr">
        <is>
          <t>Suite</t>
        </is>
      </c>
      <c r="B4" s="2" t="inlineStr">
        <is>
          <t>1.0.0</t>
        </is>
      </c>
    </row>
    <row r="5">
      <c r="A5" s="2" t="inlineStr">
        <is>
          <t>Python</t>
        </is>
      </c>
      <c r="B5" s="2" t="inlineStr">
        <is>
          <t>3.14.6</t>
        </is>
      </c>
    </row>
    <row r="6">
      <c r="A6" s="2" t="inlineStr">
        <is>
          <t>Sistem operasi</t>
        </is>
      </c>
      <c r="B6" s="2" t="inlineStr">
        <is>
          <t>Windows-11-10.0.22000-SP0</t>
        </is>
      </c>
    </row>
    <row r="7">
      <c r="A7" s="2" t="inlineStr">
        <is>
          <t>openpyxl</t>
        </is>
      </c>
      <c r="B7" s="2" t="inlineStr">
        <is>
          <t>3.1.5</t>
        </is>
      </c>
    </row>
    <row r="8">
      <c r="A8" s="2" t="inlineStr">
        <is>
          <t>Mint</t>
        </is>
      </c>
      <c r="B8" s="2" t="inlineStr">
        <is>
          <t>2dv3wbMjaUuLiAsZcZaeCcRvuaHevpHetd9Bdjy3pump</t>
        </is>
      </c>
    </row>
    <row r="9">
      <c r="A9" s="2" t="inlineStr">
        <is>
          <t>Snapshot (UTC)</t>
        </is>
      </c>
      <c r="B9" s="2" t="inlineStr">
        <is>
          <t>2026-10-15 07:14:06</t>
        </is>
      </c>
    </row>
    <row r="10">
      <c r="A10" s="2" t="inlineStr">
        <is>
          <t>Batas waktu per sumber (detik)</t>
        </is>
      </c>
      <c r="B10" s="2" t="n">
        <v>120</v>
      </c>
    </row>
    <row r="11">
      <c r="A11" s="2" t="inlineStr">
        <is>
          <t>Arsip raw JSON diminta</t>
        </is>
      </c>
      <c r="B11" s="2" t="inlineStr">
        <is>
          <t>ya</t>
        </is>
      </c>
    </row>
    <row r="12">
      <c r="A12" s="2" t="inlineStr">
        <is>
          <t>Ambang awal selisih (USD / relatif)</t>
        </is>
      </c>
      <c r="B12" s="2" t="inlineStr">
        <is>
          <t>10 / 25%</t>
        </is>
      </c>
    </row>
    <row r="13"/>
    <row r="14">
      <c r="A14" s="3" t="inlineStr">
        <is>
          <t>Proses per sumber (kunci API tidak pernah dicatat; setiap proses hanya menerima kuncinya sendiri)</t>
        </is>
      </c>
      <c r="B14" s="3" t="n"/>
      <c r="C14" s="3" t="n"/>
      <c r="D14" s="3" t="n"/>
      <c r="E14" s="3" t="n"/>
      <c r="F14" s="3" t="n"/>
      <c r="G14" s="3" t="n"/>
      <c r="H14" s="3" t="n"/>
      <c r="I14" s="3" t="n"/>
      <c r="J14" s="3" t="n"/>
    </row>
    <row r="15">
      <c r="A15" s="6" t="inlineStr">
        <is>
          <t>Sumber</t>
        </is>
      </c>
      <c r="B15" s="6" t="inlineStr">
        <is>
          <t>Status</t>
        </is>
      </c>
      <c r="C15" s="6" t="inlineStr">
        <is>
          <t>Kode keluar</t>
        </is>
      </c>
      <c r="D15" s="6" t="inlineStr">
        <is>
          <t>Perintah</t>
        </is>
      </c>
      <c r="E15" s="6" t="inlineStr">
        <is>
          <t>Folder kerja</t>
        </is>
      </c>
      <c r="F15" s="6" t="inlineStr">
        <is>
          <t>Mulai (UTC)</t>
        </is>
      </c>
      <c r="G15" s="6" t="inlineStr">
        <is>
          <t>Selesai (UTC)</t>
        </is>
      </c>
      <c r="H15" s="6" t="inlineStr">
        <is>
          <t>Durasi (dtk)</t>
        </is>
      </c>
      <c r="I15" s="6" t="inlineStr">
        <is>
          <t>Berkas</t>
        </is>
      </c>
      <c r="J15" s="6" t="inlineStr">
        <is>
          <t>Catatan</t>
        </is>
      </c>
    </row>
    <row r="16">
      <c r="A16" s="2" t="inlineStr">
        <is>
          <t>Vybe</t>
        </is>
      </c>
      <c r="B16" s="2" t="inlineStr">
        <is>
          <t>gagal</t>
        </is>
      </c>
      <c r="C16" s="2" t="n">
        <v>1</v>
      </c>
      <c r="D16" s="2" t="inlineStr">
        <is>
          <t>C:\Python314\python.exe "D:\V 1.1 - backup\V1.2\top-trader-suite\vybe\main.py" 2dv3wbMjaUuLiAsZcZaeCcRvuaHevpHetd9Bdjy3pump</t>
        </is>
      </c>
      <c r="E16" s="2" t="inlineStr">
        <is>
          <t>D:\V 1.1 - backup\V1.2\top-trader-suite\output\_raw\2dv3wbMj_20261015_071406\vybe</t>
        </is>
      </c>
      <c r="F16" s="2" t="inlineStr">
        <is>
          <t>2026-10-15 07:14:06</t>
        </is>
      </c>
      <c r="G16" s="2" t="inlineStr">
        <is>
          <t>2026-10-15 07:14:08</t>
        </is>
      </c>
      <c r="H16" s="7" t="n">
        <v>2</v>
      </c>
      <c r="I16" s="2" t="n"/>
      <c r="J16" s="2" t="inlineStr">
        <is>
          <t>Error: Vybe returned no traders for this token.</t>
        </is>
      </c>
    </row>
    <row r="17">
      <c r="A17" s="2" t="inlineStr">
        <is>
          <t>SolanaTracker</t>
        </is>
      </c>
      <c r="B17" s="2" t="inlineStr">
        <is>
          <t>ok</t>
        </is>
      </c>
      <c r="C17" s="2" t="n">
        <v>0</v>
      </c>
      <c r="D17" s="2" t="inlineStr">
        <is>
          <t>C:\Python314\python.exe "D:\V 1.1 - backup\V1.2\top-trader-suite\solanatracker\main.py" 2dv3wbMjaUuLiAsZcZaeCcRvuaHevpHetd9Bdjy3pump --raw</t>
        </is>
      </c>
      <c r="E17" s="2" t="inlineStr">
        <is>
          <t>D:\V 1.1 - backup\V1.2\top-trader-suite\output\_raw\2dv3wbMj_20261015_071406\solanatracker</t>
        </is>
      </c>
      <c r="F17" s="2" t="inlineStr">
        <is>
          <t>2026-10-15 07:14:06</t>
        </is>
      </c>
      <c r="G17" s="2" t="inlineStr">
        <is>
          <t>2026-10-15 07:14:09</t>
        </is>
      </c>
      <c r="H17" s="7" t="n">
        <v>2.6</v>
      </c>
      <c r="I17" s="2" t="inlineStr">
        <is>
          <t>solanatracker_top_traders_2dv3wbMjaUuLiAsZcZaeCcRvuaHevpHetd9Bdjy3pump_20261015_071409.csv, solanatracker_top_traders_2dv3wbMjaUuLiAsZcZaeCcRvuaHevpHetd9Bdjy3pump_20261015_071409.raw.json</t>
        </is>
      </c>
      <c r="J17" s="2" t="n"/>
    </row>
    <row r="18">
      <c r="A18" s="2" t="inlineStr">
        <is>
          <t>GMGN</t>
        </is>
      </c>
      <c r="B18" s="2" t="inlineStr">
        <is>
          <t>gagal</t>
        </is>
      </c>
      <c r="C18" s="2" t="n">
        <v>1</v>
      </c>
      <c r="D18" s="2" t="inlineStr">
        <is>
          <t>C:\Python314\python.exe "D:\V 1.1 - backup\V1.2\top-trader-suite\gmgn\main.py" 2dv3wbMjaUuLiAsZcZaeCcRvuaHevpHetd9Bdjy3pump --raw</t>
        </is>
      </c>
      <c r="E18" s="2" t="inlineStr">
        <is>
          <t>D:\V 1.1 - backup\V1.2\top-trader-suite\output\_raw\2dv3wbMj_20261015_071406\gmgn</t>
        </is>
      </c>
      <c r="F18" s="2" t="inlineStr">
        <is>
          <t>2026-10-15 07:14:06</t>
        </is>
      </c>
      <c r="G18" s="2" t="inlineStr">
        <is>
          <t>2026-10-15 07:14:08</t>
        </is>
      </c>
      <c r="H18" s="7" t="n">
        <v>1.6</v>
      </c>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row r="20">
      <c r="A20" s="3" t="inlineStr">
        <is>
          <t>Keluaran proses (dipotong bila panjang)</t>
        </is>
      </c>
      <c r="B20" s="3" t="n"/>
      <c r="C20" s="3" t="n"/>
      <c r="D20" s="3" t="n"/>
      <c r="E20" s="3" t="n"/>
      <c r="F20" s="3" t="n"/>
      <c r="G20" s="3" t="n"/>
      <c r="H20" s="3" t="n"/>
      <c r="I20" s="3" t="n"/>
      <c r="J20" s="3" t="n"/>
    </row>
    <row r="21">
      <c r="A21" s="10" t="inlineStr">
        <is>
          <t>Vybe stderr</t>
        </is>
      </c>
      <c r="B21" s="11" t="inlineStr">
        <is>
          <t xml:space="preserve">Error: Vybe returned no traders for this token.
</t>
        </is>
      </c>
    </row>
    <row r="22">
      <c r="A22" s="10" t="inlineStr">
        <is>
          <t>SolanaTracker stdout</t>
        </is>
      </c>
      <c r="B22" s="11" t="inlineStr">
        <is>
          <t xml:space="preserve">Created output\solanatracker_top_traders_2dv3wbMjaUuLiAsZcZaeCcRvuaHevpHetd9Bdjy3pump_20261015_071409.csv (100 traders) - gigalon (gigalon)
</t>
        </is>
      </c>
    </row>
    <row r="23">
      <c r="A23" s="10" t="inlineStr">
        <is>
          <t>GMGN stderr</t>
        </is>
      </c>
      <c r="B23" s="11" t="inlineStr">
        <is>
          <t xml:space="preserve">Error: GMGN API error (HTTP 401): code=401 AUTH_TIMESTAMP_EXPIRED timestamp expired Check GMGN_API_KEY (the API key, not the private key). GMGN only works over IPv4, so disable IPv6 if the key is correct, and make sure this PC's clock is accurate (the server allows about 5 seconds of drift).
</t>
        </is>
      </c>
    </row>
    <row r="24"/>
    <row r="25">
      <c r="A25" s="3" t="inlineStr">
        <is>
          <t>Sidik jari kode (SHA-256, 16 karakter pertama) - untuk memastikan versi kode yang dijalankan</t>
        </is>
      </c>
      <c r="B25" s="3" t="n"/>
      <c r="C25" s="3" t="n"/>
      <c r="D25" s="3" t="n"/>
      <c r="E25" s="3" t="n"/>
      <c r="F25" s="3" t="n"/>
      <c r="G25" s="3" t="n"/>
      <c r="H25" s="3" t="n"/>
      <c r="I25" s="3" t="n"/>
      <c r="J25" s="3" t="n"/>
    </row>
    <row r="26">
      <c r="A26" s="6" t="inlineStr">
        <is>
          <t>Sumber</t>
        </is>
      </c>
      <c r="B26" s="6" t="inlineStr">
        <is>
          <t>Berkas</t>
        </is>
      </c>
      <c r="C26" s="6" t="inlineStr">
        <is>
          <t>SHA-256</t>
        </is>
      </c>
    </row>
    <row r="27">
      <c r="A27" s="2" t="inlineStr">
        <is>
          <t>Vybe</t>
        </is>
      </c>
      <c r="B27" s="2" t="inlineStr">
        <is>
          <t>main.py</t>
        </is>
      </c>
      <c r="C27" s="2" t="inlineStr">
        <is>
          <t>249919e2e3f83dbb</t>
        </is>
      </c>
    </row>
    <row r="28">
      <c r="A28" s="2" t="inlineStr">
        <is>
          <t>Vybe</t>
        </is>
      </c>
      <c r="B28" s="2" t="inlineStr">
        <is>
          <t>vybe.py</t>
        </is>
      </c>
      <c r="C28" s="2" t="inlineStr">
        <is>
          <t>f88ad250cbb9186d</t>
        </is>
      </c>
    </row>
    <row r="29">
      <c r="A29" s="2" t="inlineStr">
        <is>
          <t>Vybe</t>
        </is>
      </c>
      <c r="B29" s="2" t="inlineStr">
        <is>
          <t>csv_writer.py</t>
        </is>
      </c>
      <c r="C29" s="2" t="inlineStr">
        <is>
          <t>56cd7548f0763d3f</t>
        </is>
      </c>
    </row>
    <row r="30">
      <c r="A30" s="2" t="inlineStr">
        <is>
          <t>SolanaTracker</t>
        </is>
      </c>
      <c r="B30" s="2" t="inlineStr">
        <is>
          <t>main.py</t>
        </is>
      </c>
      <c r="C30" s="2" t="inlineStr">
        <is>
          <t>87e2df6587fb4f35</t>
        </is>
      </c>
    </row>
    <row r="31">
      <c r="A31" s="2" t="inlineStr">
        <is>
          <t>SolanaTracker</t>
        </is>
      </c>
      <c r="B31" s="2" t="inlineStr">
        <is>
          <t>solanatracker.py</t>
        </is>
      </c>
      <c r="C31" s="2" t="inlineStr">
        <is>
          <t>24dc000755d40d1b</t>
        </is>
      </c>
    </row>
    <row r="32">
      <c r="A32" s="2" t="inlineStr">
        <is>
          <t>SolanaTracker</t>
        </is>
      </c>
      <c r="B32" s="2" t="inlineStr">
        <is>
          <t>csv_writer.py</t>
        </is>
      </c>
      <c r="C32" s="2" t="inlineStr">
        <is>
          <t>95665c59391c53c0</t>
        </is>
      </c>
    </row>
    <row r="33">
      <c r="A33" s="2" t="inlineStr">
        <is>
          <t>GMGN</t>
        </is>
      </c>
      <c r="B33" s="2" t="inlineStr">
        <is>
          <t>main.py</t>
        </is>
      </c>
      <c r="C33" s="2" t="inlineStr">
        <is>
          <t>1e1e9abfe03032c3</t>
        </is>
      </c>
    </row>
    <row r="34">
      <c r="A34" s="2" t="inlineStr">
        <is>
          <t>GMGN</t>
        </is>
      </c>
      <c r="B34" s="2" t="inlineStr">
        <is>
          <t>gmgn.py</t>
        </is>
      </c>
      <c r="C34" s="2" t="inlineStr">
        <is>
          <t>9372cc27b33b6186</t>
        </is>
      </c>
    </row>
    <row r="35">
      <c r="A35" s="2" t="inlineStr">
        <is>
          <t>GMGN</t>
        </is>
      </c>
      <c r="B35" s="2" t="inlineStr">
        <is>
          <t>csv_writer.py</t>
        </is>
      </c>
      <c r="C35" s="2" t="inlineStr">
        <is>
          <t>c23305386940d1ab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2026-10-15T07:14:09Z</dcterms:created>
  <dcterms:modified xsi:type="dcterms:W3CDTF">2026-10-15T07:14:10Z</dcterms:modified>
</cp:coreProperties>
</file>