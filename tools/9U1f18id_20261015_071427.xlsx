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9U1f18idDeySFnYrurxqT1f5n5nE4g4Uk5LLzP69bh1</t>
        </is>
      </c>
    </row>
    <row r="4">
      <c r="A4" s="2" t="inlineStr">
        <is>
          <t>Waktu snapshot (UTC)</t>
        </is>
      </c>
      <c r="B4" s="2" t="inlineStr">
        <is>
          <t>2026-10-15 07:14:27</t>
        </is>
      </c>
    </row>
    <row r="5">
      <c r="A5" s="2" t="inlineStr">
        <is>
          <t>Sumber diminta</t>
        </is>
      </c>
      <c r="B5" s="2" t="inlineStr">
        <is>
          <t>Vybe, SolanaTracker, GMGN</t>
        </is>
      </c>
    </row>
    <row r="6">
      <c r="A6" s="2" t="inlineStr">
        <is>
          <t>Sumber berhasil</t>
        </is>
      </c>
      <c r="B6" s="2" t="inlineStr">
        <is>
          <t>1 dari 3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gagal</t>
        </is>
      </c>
      <c r="C16" s="2" t="n"/>
      <c r="D16" s="2" t="inlineStr">
        <is>
          <t>2026-10-15 07:14:27</t>
        </is>
      </c>
      <c r="E16" s="2" t="inlineStr">
        <is>
          <t>2026-10-15 07:14:29</t>
        </is>
      </c>
      <c r="F16" s="7" t="n">
        <v>2.1</v>
      </c>
      <c r="G16" s="2" t="n"/>
      <c r="H16" s="7" t="n"/>
      <c r="I16" s="2" t="n"/>
      <c r="J16" s="2" t="inlineStr">
        <is>
          <t>Error: Vybe returned no traders for this token.</t>
        </is>
      </c>
    </row>
    <row r="17">
      <c r="A17" s="2" t="inlineStr">
        <is>
          <t>SolanaTracker</t>
        </is>
      </c>
      <c r="B17" s="2" t="inlineStr">
        <is>
          <t>ok</t>
        </is>
      </c>
      <c r="C17" s="2" t="n">
        <v>100</v>
      </c>
      <c r="D17" s="2" t="inlineStr">
        <is>
          <t>2026-10-15 07:14:27</t>
        </is>
      </c>
      <c r="E17" s="2" t="inlineStr">
        <is>
          <t>2026-10-15 07:14:30</t>
        </is>
      </c>
      <c r="F17" s="7" t="n">
        <v>2.6</v>
      </c>
      <c r="G17" s="2" t="inlineStr">
        <is>
          <t>2026-10-13 15:38:23</t>
        </is>
      </c>
      <c r="H17" s="7" t="n">
        <v>2376.1</v>
      </c>
      <c r="I17" s="2" t="inlineStr">
        <is>
          <t>2026-09-17 19:12:08</t>
        </is>
      </c>
      <c r="J17" s="2" t="inlineStr"/>
    </row>
    <row r="18">
      <c r="A18" s="2" t="inlineStr">
        <is>
          <t>GMGN</t>
        </is>
      </c>
      <c r="B18" s="2" t="inlineStr">
        <is>
          <t>gagal</t>
        </is>
      </c>
      <c r="C18" s="2" t="n"/>
      <c r="D18" s="2" t="inlineStr">
        <is>
          <t>2026-10-15 07:14:27</t>
        </is>
      </c>
      <c r="E18" s="2" t="inlineStr">
        <is>
          <t>2026-10-15 07:14:29</t>
        </is>
      </c>
      <c r="F18" s="7" t="n">
        <v>2</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2026-09-17 19:12:08 UTC (sekitar 660.04 jam sebelum snapshot).</t>
        </is>
      </c>
    </row>
    <row r="21"/>
    <row r="22">
      <c r="A22" s="3" t="inlineStr">
        <is>
          <t>Catatan</t>
        </is>
      </c>
      <c r="B22" s="3" t="n"/>
      <c r="C22" s="3" t="n"/>
      <c r="D22" s="3" t="n"/>
      <c r="E22" s="3" t="n"/>
      <c r="F22" s="3" t="n"/>
      <c r="G22" s="3" t="n"/>
      <c r="H22" s="3" t="n"/>
      <c r="I22" s="3" t="n"/>
      <c r="J22" s="3" t="n"/>
    </row>
    <row r="23">
      <c r="A23" s="2" t="inlineStr">
        <is>
          <t>Yang dibandingkan hanya realized PnL. Unrealized bergantung pada harga yang dipakai tiap provider saat menghitung, jadi hanya indikatif dan tidak dinilai selisihnya.</t>
        </is>
      </c>
    </row>
    <row r="24">
      <c r="A24" s="2" t="inlineStr">
        <is>
          <t>Hanya satu sumber yang berhasil, jadi perbandingan lintas sumber tidak tersedia.</t>
        </is>
      </c>
    </row>
    <row r="25">
      <c r="A25" s="2" t="inlineStr">
        <is>
          <t>SolanaTracker mengembalikan 100 baris (batas 100). Wallet di luar daftar tidak terlihat, jadi 'hanya di satu sumber' bisa disebabkan daftar yang terpotong.</t>
        </is>
      </c>
    </row>
    <row r="26"/>
    <row r="27">
      <c r="A27" s="3" t="inlineStr">
        <is>
          <t>Kamus kolom sheet Gabungan</t>
        </is>
      </c>
      <c r="B27" s="3" t="n"/>
      <c r="C27" s="3" t="n"/>
      <c r="D27" s="3" t="n"/>
      <c r="E27" s="3" t="n"/>
      <c r="F27" s="3" t="n"/>
      <c r="G27" s="3" t="n"/>
      <c r="H27" s="3" t="n"/>
      <c r="I27" s="3" t="n"/>
      <c r="J27" s="3" t="n"/>
    </row>
    <row r="28">
      <c r="A28" s="2" t="inlineStr">
        <is>
          <t>rank_*: peringkat wallet di CSV provider itu (urutan realized PnL); kosong = wallet tidak ada di daftar provider itu.</t>
        </is>
      </c>
    </row>
    <row r="29">
      <c r="A29" s="2" t="inlineStr">
        <is>
          <t>realized_*: realized_pnl_usd apa adanya dari provider; tidak ada rata-rata dan tidak ada penyatuan definisi.</t>
        </is>
      </c>
    </row>
    <row r="30">
      <c r="A30" s="2" t="inlineStr">
        <is>
          <t>n_sources, spread_usd, spread_pct, flag_spread: rumus Excel. spread = realized tertinggi dikurangi terendah di antara provider yang memuat wallet.</t>
        </is>
      </c>
    </row>
    <row r="31">
      <c r="A31" s="2" t="inlineStr">
        <is>
          <t>only_in: provider yang satu-satunya memuat wallet (hanya diisi bila &gt;= 2 provider berhasil). Waspada: bisa karena daftar terpotong.</t>
        </is>
      </c>
    </row>
    <row r="32">
      <c r="A32"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33">
      <c r="A33"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15" customWidth="1" min="8" max="8"/>
    <col width="24" customWidth="1" min="9" max="9"/>
    <col width="15" customWidth="1" min="10" max="10"/>
    <col width="48" customWidth="1" min="11" max="11"/>
    <col width="48" customWidth="1" min="12" max="12"/>
    <col width="48" customWidth="1" min="13" max="13"/>
    <col width="9" customWidth="1" min="14" max="14"/>
    <col width="38" customWidth="1" min="15" max="15"/>
    <col width="13" customWidth="1" min="16" max="16"/>
    <col width="48"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3jvB7JMR7QhTqohucrQqiB6UPazbB8e2Zo6mQSKDCCGq</t>
        </is>
      </c>
      <c r="B2" s="2" t="inlineStr">
        <is>
          <t>SandySulkyFruit</t>
        </is>
      </c>
      <c r="C2" s="2">
        <f>COUNT(E2:G2)</f>
        <v/>
      </c>
      <c r="D2" s="2" t="inlineStr">
        <is>
          <t>SolanaTracker</t>
        </is>
      </c>
      <c r="E2" s="2" t="n"/>
      <c r="F2" s="2" t="n">
        <v>1</v>
      </c>
      <c r="G2" s="2" t="n"/>
      <c r="H2" s="8" t="n"/>
      <c r="I2" s="8" t="n">
        <v>20801.32</v>
      </c>
      <c r="J2" s="8" t="n"/>
      <c r="K2" s="8">
        <f>IF(COUNT(H2:J2)&gt;=2,MAX(H2:J2)-MIN(H2:J2),"")</f>
        <v/>
      </c>
      <c r="L2" s="9">
        <f>IF(ISNUMBER(K2),IF(MAX(ABS(MAX(H2:J2)),ABS(MIN(H2:J2)))=0,"",K2/MAX(ABS(MAX(H2:J2)),ABS(MIN(H2:J2)))),"")</f>
        <v/>
      </c>
      <c r="M2" s="2">
        <f>IF(AND(ISNUMBER(K2),ISNUMBER(L2)),IF(AND(K2&gt;=Ringkasan!$B$10,L2&gt;=Ringkasan!$B$11),"yes",""),"")</f>
        <v/>
      </c>
      <c r="N2" s="2" t="n"/>
      <c r="O2" s="2" t="n"/>
      <c r="Q2" s="2" t="inlineStr">
        <is>
          <t>gmgn; axiom; pumpfun-app; bloom</t>
        </is>
      </c>
      <c r="S2" s="2" t="n"/>
      <c r="U2" s="2" t="n">
        <v>2</v>
      </c>
    </row>
    <row r="3">
      <c r="A3" s="2" t="inlineStr">
        <is>
          <t>AYZryL5JYFhAJ7PtA9uvebDqcFrifcPTucvDyjbd7xzN</t>
        </is>
      </c>
      <c r="B3" s="2" t="n"/>
      <c r="C3" s="2">
        <f>COUNT(E3:G3)</f>
        <v/>
      </c>
      <c r="D3" s="2" t="inlineStr">
        <is>
          <t>SolanaTracker</t>
        </is>
      </c>
      <c r="E3" s="2" t="n"/>
      <c r="F3" s="2" t="n">
        <v>2</v>
      </c>
      <c r="G3" s="2" t="n"/>
      <c r="H3" s="8" t="n"/>
      <c r="I3" s="8" t="n">
        <v>18694.13</v>
      </c>
      <c r="J3" s="8" t="n"/>
      <c r="K3" s="8">
        <f>IF(COUNT(H3:J3)&gt;=2,MAX(H3:J3)-MIN(H3:J3),"")</f>
        <v/>
      </c>
      <c r="L3" s="9">
        <f>IF(ISNUMBER(K3),IF(MAX(ABS(MAX(H3:J3)),ABS(MIN(H3:J3)))=0,"",K3/MAX(ABS(MAX(H3:J3)),ABS(MIN(H3:J3)))),"")</f>
        <v/>
      </c>
      <c r="M3" s="2">
        <f>IF(AND(ISNUMBER(K3),ISNUMBER(L3)),IF(AND(K3&gt;=Ringkasan!$B$10,L3&gt;=Ringkasan!$B$11),"yes",""),"")</f>
        <v/>
      </c>
      <c r="N3" s="2" t="n"/>
      <c r="O3" s="2" t="n"/>
      <c r="Q3" s="2" t="inlineStr">
        <is>
          <t>terminal; axiom</t>
        </is>
      </c>
      <c r="S3" s="2" t="n"/>
      <c r="U3" s="2" t="n">
        <v>3</v>
      </c>
    </row>
    <row r="4">
      <c r="A4" s="2" t="inlineStr">
        <is>
          <t>4CwrH924ZreiA4rjEfWRbVa28LrzYb18EBjGhLLZwBjX</t>
        </is>
      </c>
      <c r="B4" s="2" t="inlineStr">
        <is>
          <t>Spoily</t>
        </is>
      </c>
      <c r="C4" s="2">
        <f>COUNT(E4:G4)</f>
        <v/>
      </c>
      <c r="D4" s="2" t="inlineStr">
        <is>
          <t>SolanaTracker</t>
        </is>
      </c>
      <c r="E4" s="2" t="n"/>
      <c r="F4" s="2" t="n">
        <v>3</v>
      </c>
      <c r="G4" s="2" t="n"/>
      <c r="H4" s="8" t="n"/>
      <c r="I4" s="8" t="n">
        <v>18640.15</v>
      </c>
      <c r="J4" s="8" t="n"/>
      <c r="K4" s="8">
        <f>IF(COUNT(H4:J4)&gt;=2,MAX(H4:J4)-MIN(H4:J4),"")</f>
        <v/>
      </c>
      <c r="L4" s="9">
        <f>IF(ISNUMBER(K4),IF(MAX(ABS(MAX(H4:J4)),ABS(MIN(H4:J4)))=0,"",K4/MAX(ABS(MAX(H4:J4)),ABS(MIN(H4:J4)))),"")</f>
        <v/>
      </c>
      <c r="M4" s="2">
        <f>IF(AND(ISNUMBER(K4),ISNUMBER(L4)),IF(AND(K4&gt;=Ringkasan!$B$10,L4&gt;=Ringkasan!$B$11),"yes",""),"")</f>
        <v/>
      </c>
      <c r="N4" s="2" t="n"/>
      <c r="O4" s="2" t="n"/>
      <c r="Q4" s="2" t="inlineStr">
        <is>
          <t>potential_bot; fomo</t>
        </is>
      </c>
      <c r="S4" s="2" t="n"/>
      <c r="U4" s="2" t="n">
        <v>4</v>
      </c>
    </row>
    <row r="5">
      <c r="A5" s="2" t="inlineStr">
        <is>
          <t>8Hh4H35D498baNnWXdsAct6pj5LtnkNS1Xi8KtQq6huK</t>
        </is>
      </c>
      <c r="B5" s="2" t="inlineStr">
        <is>
          <t>Saif</t>
        </is>
      </c>
      <c r="C5" s="2">
        <f>COUNT(E5:G5)</f>
        <v/>
      </c>
      <c r="D5" s="2" t="inlineStr">
        <is>
          <t>SolanaTracker</t>
        </is>
      </c>
      <c r="E5" s="2" t="n"/>
      <c r="F5" s="2" t="n">
        <v>4</v>
      </c>
      <c r="G5" s="2" t="n"/>
      <c r="H5" s="8" t="n"/>
      <c r="I5" s="8" t="n">
        <v>15226.57</v>
      </c>
      <c r="J5" s="8" t="n"/>
      <c r="K5" s="8">
        <f>IF(COUNT(H5:J5)&gt;=2,MAX(H5:J5)-MIN(H5:J5),"")</f>
        <v/>
      </c>
      <c r="L5" s="9">
        <f>IF(ISNUMBER(K5),IF(MAX(ABS(MAX(H5:J5)),ABS(MIN(H5:J5)))=0,"",K5/MAX(ABS(MAX(H5:J5)),ABS(MIN(H5:J5)))),"")</f>
        <v/>
      </c>
      <c r="M5" s="2">
        <f>IF(AND(ISNUMBER(K5),ISNUMBER(L5)),IF(AND(K5&gt;=Ringkasan!$B$10,L5&gt;=Ringkasan!$B$11),"yes",""),"")</f>
        <v/>
      </c>
      <c r="N5" s="2" t="n"/>
      <c r="O5" s="2" t="n"/>
      <c r="Q5" s="2" t="inlineStr">
        <is>
          <t>fomo</t>
        </is>
      </c>
      <c r="S5" s="2" t="n"/>
      <c r="U5" s="2" t="n">
        <v>5</v>
      </c>
    </row>
    <row r="6">
      <c r="A6" s="2" t="inlineStr">
        <is>
          <t>EJFEveW2fy9o7ARLpU7ch7aHbPwK3hLKGTmQ9EkNZa43</t>
        </is>
      </c>
      <c r="B6" s="2" t="inlineStr">
        <is>
          <t>FirmDeafFox</t>
        </is>
      </c>
      <c r="C6" s="2">
        <f>COUNT(E6:G6)</f>
        <v/>
      </c>
      <c r="D6" s="2" t="inlineStr">
        <is>
          <t>SolanaTracker</t>
        </is>
      </c>
      <c r="E6" s="2" t="n"/>
      <c r="F6" s="2" t="n">
        <v>5</v>
      </c>
      <c r="G6" s="2" t="n"/>
      <c r="H6" s="8" t="n"/>
      <c r="I6" s="8" t="n">
        <v>14197.44</v>
      </c>
      <c r="J6" s="8" t="n"/>
      <c r="K6" s="8">
        <f>IF(COUNT(H6:J6)&gt;=2,MAX(H6:J6)-MIN(H6:J6),"")</f>
        <v/>
      </c>
      <c r="L6" s="9">
        <f>IF(ISNUMBER(K6),IF(MAX(ABS(MAX(H6:J6)),ABS(MIN(H6:J6)))=0,"",K6/MAX(ABS(MAX(H6:J6)),ABS(MIN(H6:J6)))),"")</f>
        <v/>
      </c>
      <c r="M6" s="2">
        <f>IF(AND(ISNUMBER(K6),ISNUMBER(L6)),IF(AND(K6&gt;=Ringkasan!$B$10,L6&gt;=Ringkasan!$B$11),"yes",""),"")</f>
        <v/>
      </c>
      <c r="N6" s="2" t="n"/>
      <c r="O6" s="2" t="n"/>
      <c r="Q6" s="2" t="inlineStr">
        <is>
          <t>fomo</t>
        </is>
      </c>
      <c r="S6" s="2" t="n"/>
      <c r="U6" s="2" t="n">
        <v>6</v>
      </c>
    </row>
    <row r="7">
      <c r="A7" s="2" t="inlineStr">
        <is>
          <t>4nQ4VWTAadJB2sgQqabBVBft3VPpQcHi3RdX2qcJZTMD</t>
        </is>
      </c>
      <c r="B7" s="2" t="n"/>
      <c r="C7" s="2">
        <f>COUNT(E7:G7)</f>
        <v/>
      </c>
      <c r="D7" s="2" t="inlineStr">
        <is>
          <t>SolanaTracker</t>
        </is>
      </c>
      <c r="E7" s="2" t="n"/>
      <c r="F7" s="2" t="n">
        <v>6</v>
      </c>
      <c r="G7" s="2" t="n"/>
      <c r="H7" s="8" t="n"/>
      <c r="I7" s="8" t="n">
        <v>11818.44</v>
      </c>
      <c r="J7" s="8" t="n"/>
      <c r="K7" s="8">
        <f>IF(COUNT(H7:J7)&gt;=2,MAX(H7:J7)-MIN(H7:J7),"")</f>
        <v/>
      </c>
      <c r="L7" s="9">
        <f>IF(ISNUMBER(K7),IF(MAX(ABS(MAX(H7:J7)),ABS(MIN(H7:J7)))=0,"",K7/MAX(ABS(MAX(H7:J7)),ABS(MIN(H7:J7)))),"")</f>
        <v/>
      </c>
      <c r="M7" s="2">
        <f>IF(AND(ISNUMBER(K7),ISNUMBER(L7)),IF(AND(K7&gt;=Ringkasan!$B$10,L7&gt;=Ringkasan!$B$11),"yes",""),"")</f>
        <v/>
      </c>
      <c r="N7" s="2" t="n"/>
      <c r="O7" s="2" t="n"/>
      <c r="Q7" s="2" t="inlineStr">
        <is>
          <t>axiom</t>
        </is>
      </c>
      <c r="S7" s="2" t="n"/>
      <c r="U7" s="2" t="n">
        <v>7</v>
      </c>
    </row>
    <row r="8">
      <c r="A8" s="2" t="inlineStr">
        <is>
          <t>3ULrdcEaBHsXACWnMo6foav1nkV7QDsPipsUyY2fT5AS</t>
        </is>
      </c>
      <c r="B8" s="2" t="inlineStr">
        <is>
          <t>newlobster60567</t>
        </is>
      </c>
      <c r="C8" s="2">
        <f>COUNT(E8:G8)</f>
        <v/>
      </c>
      <c r="D8" s="2" t="inlineStr">
        <is>
          <t>SolanaTracker</t>
        </is>
      </c>
      <c r="E8" s="2" t="n"/>
      <c r="F8" s="2" t="n">
        <v>7</v>
      </c>
      <c r="G8" s="2" t="n"/>
      <c r="H8" s="8" t="n"/>
      <c r="I8" s="8" t="n">
        <v>11324.02</v>
      </c>
      <c r="J8" s="8" t="n"/>
      <c r="K8" s="8">
        <f>IF(COUNT(H8:J8)&gt;=2,MAX(H8:J8)-MIN(H8:J8),"")</f>
        <v/>
      </c>
      <c r="L8" s="9">
        <f>IF(ISNUMBER(K8),IF(MAX(ABS(MAX(H8:J8)),ABS(MIN(H8:J8)))=0,"",K8/MAX(ABS(MAX(H8:J8)),ABS(MIN(H8:J8)))),"")</f>
        <v/>
      </c>
      <c r="M8" s="2">
        <f>IF(AND(ISNUMBER(K8),ISNUMBER(L8)),IF(AND(K8&gt;=Ringkasan!$B$10,L8&gt;=Ringkasan!$B$11),"yes",""),"")</f>
        <v/>
      </c>
      <c r="N8" s="2" t="n"/>
      <c r="O8" s="2" t="n"/>
      <c r="Q8" s="2" t="inlineStr">
        <is>
          <t>potential_bot; pumpfun-app</t>
        </is>
      </c>
      <c r="S8" s="2" t="n"/>
      <c r="U8" s="2" t="n">
        <v>8</v>
      </c>
    </row>
    <row r="9">
      <c r="A9" s="2" t="inlineStr">
        <is>
          <t>CyaE1VxvBrahnPWkqm5VsdCvyS2QmNht2UFrKJHga54o</t>
        </is>
      </c>
      <c r="B9" s="2" t="inlineStr">
        <is>
          <t>Cented</t>
        </is>
      </c>
      <c r="C9" s="2">
        <f>COUNT(E9:G9)</f>
        <v/>
      </c>
      <c r="D9" s="2" t="inlineStr">
        <is>
          <t>SolanaTracker</t>
        </is>
      </c>
      <c r="E9" s="2" t="n"/>
      <c r="F9" s="2" t="n">
        <v>8</v>
      </c>
      <c r="G9" s="2" t="n"/>
      <c r="H9" s="8" t="n"/>
      <c r="I9" s="8" t="n">
        <v>10423.99</v>
      </c>
      <c r="J9" s="8" t="n"/>
      <c r="K9" s="8">
        <f>IF(COUNT(H9:J9)&gt;=2,MAX(H9:J9)-MIN(H9:J9),"")</f>
        <v/>
      </c>
      <c r="L9" s="9">
        <f>IF(ISNUMBER(K9),IF(MAX(ABS(MAX(H9:J9)),ABS(MIN(H9:J9)))=0,"",K9/MAX(ABS(MAX(H9:J9)),ABS(MIN(H9:J9)))),"")</f>
        <v/>
      </c>
      <c r="M9" s="2">
        <f>IF(AND(ISNUMBER(K9),ISNUMBER(L9)),IF(AND(K9&gt;=Ringkasan!$B$10,L9&gt;=Ringkasan!$B$11),"yes",""),"")</f>
        <v/>
      </c>
      <c r="N9" s="2" t="n"/>
      <c r="O9" s="2" t="n"/>
      <c r="Q9" s="2" t="inlineStr">
        <is>
          <t>kol; terminal; axiom; photon; pumpfun-app; bloom; sns</t>
        </is>
      </c>
      <c r="S9" s="2" t="n"/>
      <c r="U9" s="2" t="n">
        <v>9</v>
      </c>
    </row>
    <row r="10">
      <c r="A10" s="2" t="inlineStr">
        <is>
          <t>5B79fMkcFeRTiwm7ehsZsFiKsC7m7n1Bgv9yLxPp9q2X</t>
        </is>
      </c>
      <c r="B10" s="2" t="inlineStr">
        <is>
          <t>bandit</t>
        </is>
      </c>
      <c r="C10" s="2">
        <f>COUNT(E10:G10)</f>
        <v/>
      </c>
      <c r="D10" s="2" t="inlineStr">
        <is>
          <t>SolanaTracker</t>
        </is>
      </c>
      <c r="E10" s="2" t="n"/>
      <c r="F10" s="2" t="n">
        <v>9</v>
      </c>
      <c r="G10" s="2" t="n"/>
      <c r="H10" s="8" t="n"/>
      <c r="I10" s="8" t="n">
        <v>10400.93</v>
      </c>
      <c r="J10" s="8" t="n"/>
      <c r="K10" s="8">
        <f>IF(COUNT(H10:J10)&gt;=2,MAX(H10:J10)-MIN(H10:J10),"")</f>
        <v/>
      </c>
      <c r="L10" s="9">
        <f>IF(ISNUMBER(K10),IF(MAX(ABS(MAX(H10:J10)),ABS(MIN(H10:J10)))=0,"",K10/MAX(ABS(MAX(H10:J10)),ABS(MIN(H10:J10)))),"")</f>
        <v/>
      </c>
      <c r="M10" s="2">
        <f>IF(AND(ISNUMBER(K10),ISNUMBER(L10)),IF(AND(K10&gt;=Ringkasan!$B$10,L10&gt;=Ringkasan!$B$11),"yes",""),"")</f>
        <v/>
      </c>
      <c r="N10" s="2" t="n"/>
      <c r="O10" s="2" t="n"/>
      <c r="Q10" s="2" t="inlineStr">
        <is>
          <t>kol; axiom; sns</t>
        </is>
      </c>
      <c r="S10" s="2" t="n"/>
      <c r="U10" s="2" t="n">
        <v>10</v>
      </c>
    </row>
    <row r="11">
      <c r="A11" s="2" t="inlineStr">
        <is>
          <t>EYkRnmNfmSFUkzz4vYE2uii2UW2cTSr2Urf32BUkUX9k</t>
        </is>
      </c>
      <c r="B11" s="2" t="n"/>
      <c r="C11" s="2">
        <f>COUNT(E11:G11)</f>
        <v/>
      </c>
      <c r="D11" s="2" t="inlineStr">
        <is>
          <t>SolanaTracker</t>
        </is>
      </c>
      <c r="E11" s="2" t="n"/>
      <c r="F11" s="2" t="n">
        <v>10</v>
      </c>
      <c r="G11" s="2" t="n"/>
      <c r="H11" s="8" t="n"/>
      <c r="I11" s="8" t="n">
        <v>9666.4</v>
      </c>
      <c r="J11" s="8" t="n"/>
      <c r="K11" s="8">
        <f>IF(COUNT(H11:J11)&gt;=2,MAX(H11:J11)-MIN(H11:J11),"")</f>
        <v/>
      </c>
      <c r="L11" s="9">
        <f>IF(ISNUMBER(K11),IF(MAX(ABS(MAX(H11:J11)),ABS(MIN(H11:J11)))=0,"",K11/MAX(ABS(MAX(H11:J11)),ABS(MIN(H11:J11)))),"")</f>
        <v/>
      </c>
      <c r="M11" s="2">
        <f>IF(AND(ISNUMBER(K11),ISNUMBER(L11)),IF(AND(K11&gt;=Ringkasan!$B$10,L11&gt;=Ringkasan!$B$11),"yes",""),"")</f>
        <v/>
      </c>
      <c r="N11" s="2" t="n"/>
      <c r="O11" s="2" t="n"/>
      <c r="Q11" s="2" t="n"/>
      <c r="S11" s="2" t="n"/>
      <c r="U11" s="2" t="n">
        <v>11</v>
      </c>
    </row>
    <row r="12">
      <c r="A12" s="2" t="inlineStr">
        <is>
          <t>3nLh14fRyZr1EBpp7jJqwBqKt8uLBFZ1rTmVTfLvnkfj</t>
        </is>
      </c>
      <c r="B12" s="2" t="n"/>
      <c r="C12" s="2">
        <f>COUNT(E12:G12)</f>
        <v/>
      </c>
      <c r="D12" s="2" t="inlineStr">
        <is>
          <t>SolanaTracker</t>
        </is>
      </c>
      <c r="E12" s="2" t="n"/>
      <c r="F12" s="2" t="n">
        <v>11</v>
      </c>
      <c r="G12" s="2" t="n"/>
      <c r="H12" s="8" t="n"/>
      <c r="I12" s="8" t="n">
        <v>9051.790000000001</v>
      </c>
      <c r="J12" s="8" t="n"/>
      <c r="K12" s="8">
        <f>IF(COUNT(H12:J12)&gt;=2,MAX(H12:J12)-MIN(H12:J12),"")</f>
        <v/>
      </c>
      <c r="L12" s="9">
        <f>IF(ISNUMBER(K12),IF(MAX(ABS(MAX(H12:J12)),ABS(MIN(H12:J12)))=0,"",K12/MAX(ABS(MAX(H12:J12)),ABS(MIN(H12:J12)))),"")</f>
        <v/>
      </c>
      <c r="M12" s="2">
        <f>IF(AND(ISNUMBER(K12),ISNUMBER(L12)),IF(AND(K12&gt;=Ringkasan!$B$10,L12&gt;=Ringkasan!$B$11),"yes",""),"")</f>
        <v/>
      </c>
      <c r="N12" s="2" t="n"/>
      <c r="O12" s="2" t="n"/>
      <c r="Q12" s="2" t="inlineStr">
        <is>
          <t>potential_bot; axiom</t>
        </is>
      </c>
      <c r="S12" s="2" t="n"/>
      <c r="U12" s="2" t="n">
        <v>12</v>
      </c>
    </row>
    <row r="13">
      <c r="A13" s="2" t="inlineStr">
        <is>
          <t>5tNXmLdWCY58mjGVn6a6hTxLqyDntKAetwWcLaphRnL</t>
        </is>
      </c>
      <c r="B13" s="2" t="n"/>
      <c r="C13" s="2">
        <f>COUNT(E13:G13)</f>
        <v/>
      </c>
      <c r="D13" s="2" t="inlineStr">
        <is>
          <t>SolanaTracker</t>
        </is>
      </c>
      <c r="E13" s="2" t="n"/>
      <c r="F13" s="2" t="n">
        <v>12</v>
      </c>
      <c r="G13" s="2" t="n"/>
      <c r="H13" s="8" t="n"/>
      <c r="I13" s="8" t="n">
        <v>8497.26</v>
      </c>
      <c r="J13" s="8" t="n"/>
      <c r="K13" s="8">
        <f>IF(COUNT(H13:J13)&gt;=2,MAX(H13:J13)-MIN(H13:J13),"")</f>
        <v/>
      </c>
      <c r="L13" s="9">
        <f>IF(ISNUMBER(K13),IF(MAX(ABS(MAX(H13:J13)),ABS(MIN(H13:J13)))=0,"",K13/MAX(ABS(MAX(H13:J13)),ABS(MIN(H13:J13)))),"")</f>
        <v/>
      </c>
      <c r="M13" s="2">
        <f>IF(AND(ISNUMBER(K13),ISNUMBER(L13)),IF(AND(K13&gt;=Ringkasan!$B$10,L13&gt;=Ringkasan!$B$11),"yes",""),"")</f>
        <v/>
      </c>
      <c r="N13" s="2" t="n"/>
      <c r="O13" s="2" t="n"/>
      <c r="Q13" s="2" t="inlineStr">
        <is>
          <t>axiom</t>
        </is>
      </c>
      <c r="S13" s="2" t="n"/>
      <c r="U13" s="2" t="n">
        <v>13</v>
      </c>
    </row>
    <row r="14">
      <c r="A14" s="2" t="inlineStr">
        <is>
          <t>WJWQRpigXNgnMH8wdjLuo5XfuY3sk6WHc3DAaBXf8Vx</t>
        </is>
      </c>
      <c r="B14" s="2" t="n"/>
      <c r="C14" s="2">
        <f>COUNT(E14:G14)</f>
        <v/>
      </c>
      <c r="D14" s="2" t="inlineStr">
        <is>
          <t>SolanaTracker</t>
        </is>
      </c>
      <c r="E14" s="2" t="n"/>
      <c r="F14" s="2" t="n">
        <v>13</v>
      </c>
      <c r="G14" s="2" t="n"/>
      <c r="H14" s="8" t="n"/>
      <c r="I14" s="8" t="n">
        <v>7679.67</v>
      </c>
      <c r="J14" s="8" t="n"/>
      <c r="K14" s="8">
        <f>IF(COUNT(H14:J14)&gt;=2,MAX(H14:J14)-MIN(H14:J14),"")</f>
        <v/>
      </c>
      <c r="L14" s="9">
        <f>IF(ISNUMBER(K14),IF(MAX(ABS(MAX(H14:J14)),ABS(MIN(H14:J14)))=0,"",K14/MAX(ABS(MAX(H14:J14)),ABS(MIN(H14:J14)))),"")</f>
        <v/>
      </c>
      <c r="M14" s="2">
        <f>IF(AND(ISNUMBER(K14),ISNUMBER(L14)),IF(AND(K14&gt;=Ringkasan!$B$10,L14&gt;=Ringkasan!$B$11),"yes",""),"")</f>
        <v/>
      </c>
      <c r="N14" s="2" t="n"/>
      <c r="O14" s="2" t="n"/>
      <c r="Q14" s="2" t="inlineStr">
        <is>
          <t>axiom</t>
        </is>
      </c>
      <c r="S14" s="2" t="n"/>
      <c r="U14" s="2" t="n">
        <v>14</v>
      </c>
    </row>
    <row r="15">
      <c r="A15" s="2" t="inlineStr">
        <is>
          <t>922M9fBTzwGfC4Gqu3WxB8S89WHaTfVAUZKwK5PNtZpk</t>
        </is>
      </c>
      <c r="B15" s="2" t="n"/>
      <c r="C15" s="2">
        <f>COUNT(E15:G15)</f>
        <v/>
      </c>
      <c r="D15" s="2" t="inlineStr">
        <is>
          <t>SolanaTracker</t>
        </is>
      </c>
      <c r="E15" s="2" t="n"/>
      <c r="F15" s="2" t="n">
        <v>14</v>
      </c>
      <c r="G15" s="2" t="n"/>
      <c r="H15" s="8" t="n"/>
      <c r="I15" s="8" t="n">
        <v>7145.46</v>
      </c>
      <c r="J15" s="8" t="n"/>
      <c r="K15" s="8">
        <f>IF(COUNT(H15:J15)&gt;=2,MAX(H15:J15)-MIN(H15:J15),"")</f>
        <v/>
      </c>
      <c r="L15" s="9">
        <f>IF(ISNUMBER(K15),IF(MAX(ABS(MAX(H15:J15)),ABS(MIN(H15:J15)))=0,"",K15/MAX(ABS(MAX(H15:J15)),ABS(MIN(H15:J15)))),"")</f>
        <v/>
      </c>
      <c r="M15" s="2">
        <f>IF(AND(ISNUMBER(K15),ISNUMBER(L15)),IF(AND(K15&gt;=Ringkasan!$B$10,L15&gt;=Ringkasan!$B$11),"yes",""),"")</f>
        <v/>
      </c>
      <c r="N15" s="2" t="n"/>
      <c r="O15" s="2" t="n"/>
      <c r="Q15" s="2" t="inlineStr">
        <is>
          <t>potential_bot</t>
        </is>
      </c>
      <c r="S15" s="2" t="n"/>
      <c r="U15" s="2" t="n">
        <v>15</v>
      </c>
    </row>
    <row r="16">
      <c r="A16" s="2" t="inlineStr">
        <is>
          <t>HyGWBXCTcSW3F9dPdZhz5RD4ubjKyjmMccArDSEBfYxM</t>
        </is>
      </c>
      <c r="B16" s="2" t="n"/>
      <c r="C16" s="2">
        <f>COUNT(E16:G16)</f>
        <v/>
      </c>
      <c r="D16" s="2" t="inlineStr">
        <is>
          <t>SolanaTracker</t>
        </is>
      </c>
      <c r="E16" s="2" t="n"/>
      <c r="F16" s="2" t="n">
        <v>15</v>
      </c>
      <c r="G16" s="2" t="n"/>
      <c r="H16" s="8" t="n"/>
      <c r="I16" s="8" t="n">
        <v>6992.96</v>
      </c>
      <c r="J16" s="8" t="n"/>
      <c r="K16" s="8">
        <f>IF(COUNT(H16:J16)&gt;=2,MAX(H16:J16)-MIN(H16:J16),"")</f>
        <v/>
      </c>
      <c r="L16" s="9">
        <f>IF(ISNUMBER(K16),IF(MAX(ABS(MAX(H16:J16)),ABS(MIN(H16:J16)))=0,"",K16/MAX(ABS(MAX(H16:J16)),ABS(MIN(H16:J16)))),"")</f>
        <v/>
      </c>
      <c r="M16" s="2">
        <f>IF(AND(ISNUMBER(K16),ISNUMBER(L16)),IF(AND(K16&gt;=Ringkasan!$B$10,L16&gt;=Ringkasan!$B$11),"yes",""),"")</f>
        <v/>
      </c>
      <c r="N16" s="2" t="n"/>
      <c r="O16" s="2" t="n"/>
      <c r="Q16" s="2" t="inlineStr">
        <is>
          <t>terminal; axiom</t>
        </is>
      </c>
      <c r="S16" s="2" t="n"/>
      <c r="U16" s="2" t="n">
        <v>16</v>
      </c>
    </row>
    <row r="17">
      <c r="A17" s="2" t="inlineStr">
        <is>
          <t>5pHeNsWMVEi1cbMzLhgqABnhEUwRTSzy5vBfeGWyJfxS</t>
        </is>
      </c>
      <c r="B17" s="2" t="inlineStr">
        <is>
          <t>‎ ‎ ‎</t>
        </is>
      </c>
      <c r="C17" s="2">
        <f>COUNT(E17:G17)</f>
        <v/>
      </c>
      <c r="D17" s="2" t="inlineStr">
        <is>
          <t>SolanaTracker</t>
        </is>
      </c>
      <c r="E17" s="2" t="n"/>
      <c r="F17" s="2" t="n">
        <v>16</v>
      </c>
      <c r="G17" s="2" t="n"/>
      <c r="H17" s="8" t="n"/>
      <c r="I17" s="8" t="n">
        <v>6435.1</v>
      </c>
      <c r="J17" s="8" t="n"/>
      <c r="K17" s="8">
        <f>IF(COUNT(H17:J17)&gt;=2,MAX(H17:J17)-MIN(H17:J17),"")</f>
        <v/>
      </c>
      <c r="L17" s="9">
        <f>IF(ISNUMBER(K17),IF(MAX(ABS(MAX(H17:J17)),ABS(MIN(H17:J17)))=0,"",K17/MAX(ABS(MAX(H17:J17)),ABS(MIN(H17:J17)))),"")</f>
        <v/>
      </c>
      <c r="M17" s="2">
        <f>IF(AND(ISNUMBER(K17),ISNUMBER(L17)),IF(AND(K17&gt;=Ringkasan!$B$10,L17&gt;=Ringkasan!$B$11),"yes",""),"")</f>
        <v/>
      </c>
      <c r="N17" s="2" t="n"/>
      <c r="O17" s="2" t="n"/>
      <c r="Q17" s="2" t="inlineStr">
        <is>
          <t>potential_bot; fomo</t>
        </is>
      </c>
      <c r="S17" s="2" t="n"/>
      <c r="U17" s="2" t="n">
        <v>17</v>
      </c>
    </row>
    <row r="18">
      <c r="A18" s="2" t="inlineStr">
        <is>
          <t>6dC4Rvt1c6mv6M27QeAxRCCbXjUaZPFRZPxZn2rLXN7s</t>
        </is>
      </c>
      <c r="B18" s="2" t="n"/>
      <c r="C18" s="2">
        <f>COUNT(E18:G18)</f>
        <v/>
      </c>
      <c r="D18" s="2" t="inlineStr">
        <is>
          <t>SolanaTracker</t>
        </is>
      </c>
      <c r="E18" s="2" t="n"/>
      <c r="F18" s="2" t="n">
        <v>17</v>
      </c>
      <c r="G18" s="2" t="n"/>
      <c r="H18" s="8" t="n"/>
      <c r="I18" s="8" t="n">
        <v>6405.29</v>
      </c>
      <c r="J18" s="8" t="n"/>
      <c r="K18" s="8">
        <f>IF(COUNT(H18:J18)&gt;=2,MAX(H18:J18)-MIN(H18:J18),"")</f>
        <v/>
      </c>
      <c r="L18" s="9">
        <f>IF(ISNUMBER(K18),IF(MAX(ABS(MAX(H18:J18)),ABS(MIN(H18:J18)))=0,"",K18/MAX(ABS(MAX(H18:J18)),ABS(MIN(H18:J18)))),"")</f>
        <v/>
      </c>
      <c r="M18" s="2">
        <f>IF(AND(ISNUMBER(K18),ISNUMBER(L18)),IF(AND(K18&gt;=Ringkasan!$B$10,L18&gt;=Ringkasan!$B$11),"yes",""),"")</f>
        <v/>
      </c>
      <c r="N18" s="2" t="n"/>
      <c r="O18" s="2" t="n"/>
      <c r="Q18" s="2" t="inlineStr">
        <is>
          <t>potential_bot; gmgn; axiom</t>
        </is>
      </c>
      <c r="S18" s="2" t="n"/>
      <c r="U18" s="2" t="n">
        <v>18</v>
      </c>
    </row>
    <row r="19">
      <c r="A19" s="2" t="inlineStr">
        <is>
          <t>1CNg1DM3egT1qiHNFNFNAFsCmgpczHHJk2fZdnkJyUv</t>
        </is>
      </c>
      <c r="B19" s="2" t="n"/>
      <c r="C19" s="2">
        <f>COUNT(E19:G19)</f>
        <v/>
      </c>
      <c r="D19" s="2" t="inlineStr">
        <is>
          <t>SolanaTracker</t>
        </is>
      </c>
      <c r="E19" s="2" t="n"/>
      <c r="F19" s="2" t="n">
        <v>18</v>
      </c>
      <c r="G19" s="2" t="n"/>
      <c r="H19" s="8" t="n"/>
      <c r="I19" s="8" t="n">
        <v>6014.38</v>
      </c>
      <c r="J19" s="8" t="n"/>
      <c r="K19" s="8">
        <f>IF(COUNT(H19:J19)&gt;=2,MAX(H19:J19)-MIN(H19:J19),"")</f>
        <v/>
      </c>
      <c r="L19" s="9">
        <f>IF(ISNUMBER(K19),IF(MAX(ABS(MAX(H19:J19)),ABS(MIN(H19:J19)))=0,"",K19/MAX(ABS(MAX(H19:J19)),ABS(MIN(H19:J19)))),"")</f>
        <v/>
      </c>
      <c r="M19" s="2">
        <f>IF(AND(ISNUMBER(K19),ISNUMBER(L19)),IF(AND(K19&gt;=Ringkasan!$B$10,L19&gt;=Ringkasan!$B$11),"yes",""),"")</f>
        <v/>
      </c>
      <c r="N19" s="2" t="n"/>
      <c r="O19" s="2" t="n"/>
      <c r="Q19" s="2" t="inlineStr">
        <is>
          <t>potential_bot; terminal; axiom</t>
        </is>
      </c>
      <c r="S19" s="2" t="n"/>
      <c r="U19" s="2" t="n">
        <v>19</v>
      </c>
    </row>
    <row r="20">
      <c r="A20" s="2" t="inlineStr">
        <is>
          <t>8HH3M6SfUCC9yGM3ytaFQWnDc19tSBYCNJBnqeWaQ8Xb</t>
        </is>
      </c>
      <c r="B20" s="2" t="inlineStr">
        <is>
          <t>fomo_sexual</t>
        </is>
      </c>
      <c r="C20" s="2">
        <f>COUNT(E20:G20)</f>
        <v/>
      </c>
      <c r="D20" s="2" t="inlineStr">
        <is>
          <t>SolanaTracker</t>
        </is>
      </c>
      <c r="E20" s="2" t="n"/>
      <c r="F20" s="2" t="n">
        <v>19</v>
      </c>
      <c r="G20" s="2" t="n"/>
      <c r="H20" s="8" t="n"/>
      <c r="I20" s="8" t="n">
        <v>5839.45</v>
      </c>
      <c r="J20" s="8" t="n"/>
      <c r="K20" s="8">
        <f>IF(COUNT(H20:J20)&gt;=2,MAX(H20:J20)-MIN(H20:J20),"")</f>
        <v/>
      </c>
      <c r="L20" s="9">
        <f>IF(ISNUMBER(K20),IF(MAX(ABS(MAX(H20:J20)),ABS(MIN(H20:J20)))=0,"",K20/MAX(ABS(MAX(H20:J20)),ABS(MIN(H20:J20)))),"")</f>
        <v/>
      </c>
      <c r="M20" s="2">
        <f>IF(AND(ISNUMBER(K20),ISNUMBER(L20)),IF(AND(K20&gt;=Ringkasan!$B$10,L20&gt;=Ringkasan!$B$11),"yes",""),"")</f>
        <v/>
      </c>
      <c r="N20" s="2" t="n"/>
      <c r="O20" s="2" t="n"/>
      <c r="Q20" s="2" t="inlineStr">
        <is>
          <t>pumpfun-app</t>
        </is>
      </c>
      <c r="S20" s="2" t="n"/>
      <c r="U20" s="2" t="n">
        <v>20</v>
      </c>
    </row>
    <row r="21">
      <c r="A21" s="2" t="inlineStr">
        <is>
          <t>3EmnFHt5dFo5RW4oJf4zruBKJtm2gNgTkGCB5n6dXDvf</t>
        </is>
      </c>
      <c r="B21" s="2" t="n"/>
      <c r="C21" s="2">
        <f>COUNT(E21:G21)</f>
        <v/>
      </c>
      <c r="D21" s="2" t="inlineStr">
        <is>
          <t>SolanaTracker</t>
        </is>
      </c>
      <c r="E21" s="2" t="n"/>
      <c r="F21" s="2" t="n">
        <v>20</v>
      </c>
      <c r="G21" s="2" t="n"/>
      <c r="H21" s="8" t="n"/>
      <c r="I21" s="8" t="n">
        <v>5696.76</v>
      </c>
      <c r="J21" s="8" t="n"/>
      <c r="K21" s="8">
        <f>IF(COUNT(H21:J21)&gt;=2,MAX(H21:J21)-MIN(H21:J21),"")</f>
        <v/>
      </c>
      <c r="L21" s="9">
        <f>IF(ISNUMBER(K21),IF(MAX(ABS(MAX(H21:J21)),ABS(MIN(H21:J21)))=0,"",K21/MAX(ABS(MAX(H21:J21)),ABS(MIN(H21:J21)))),"")</f>
        <v/>
      </c>
      <c r="M21" s="2">
        <f>IF(AND(ISNUMBER(K21),ISNUMBER(L21)),IF(AND(K21&gt;=Ringkasan!$B$10,L21&gt;=Ringkasan!$B$11),"yes",""),"")</f>
        <v/>
      </c>
      <c r="N21" s="2" t="n"/>
      <c r="O21" s="2" t="n"/>
      <c r="Q21" s="2" t="inlineStr">
        <is>
          <t>fomo</t>
        </is>
      </c>
      <c r="S21" s="2" t="n"/>
      <c r="U21" s="2" t="n">
        <v>21</v>
      </c>
    </row>
    <row r="22">
      <c r="A22" s="2" t="inlineStr">
        <is>
          <t>gasBidSWW5zmwXs3gn8TG2ijzKkrwpyM7ucwjgDQst6</t>
        </is>
      </c>
      <c r="B22" s="2" t="n"/>
      <c r="C22" s="2">
        <f>COUNT(E22:G22)</f>
        <v/>
      </c>
      <c r="D22" s="2" t="inlineStr">
        <is>
          <t>SolanaTracker</t>
        </is>
      </c>
      <c r="E22" s="2" t="n"/>
      <c r="F22" s="2" t="n">
        <v>21</v>
      </c>
      <c r="G22" s="2" t="n"/>
      <c r="H22" s="8" t="n"/>
      <c r="I22" s="8" t="n">
        <v>5684.03</v>
      </c>
      <c r="J22" s="8" t="n"/>
      <c r="K22" s="8">
        <f>IF(COUNT(H22:J22)&gt;=2,MAX(H22:J22)-MIN(H22:J22),"")</f>
        <v/>
      </c>
      <c r="L22" s="9">
        <f>IF(ISNUMBER(K22),IF(MAX(ABS(MAX(H22:J22)),ABS(MIN(H22:J22)))=0,"",K22/MAX(ABS(MAX(H22:J22)),ABS(MIN(H22:J22)))),"")</f>
        <v/>
      </c>
      <c r="M22" s="2">
        <f>IF(AND(ISNUMBER(K22),ISNUMBER(L22)),IF(AND(K22&gt;=Ringkasan!$B$10,L22&gt;=Ringkasan!$B$11),"yes",""),"")</f>
        <v/>
      </c>
      <c r="N22" s="2" t="n"/>
      <c r="O22" s="2" t="n"/>
      <c r="Q22" s="2" t="inlineStr">
        <is>
          <t>potential_bot</t>
        </is>
      </c>
      <c r="S22" s="2" t="n"/>
      <c r="U22" s="2" t="n">
        <v>22</v>
      </c>
    </row>
    <row r="23">
      <c r="A23" s="2" t="inlineStr">
        <is>
          <t>2tiFfUNd4HEYg5XtSiNgrfptZ5LSjNU4dCFbg5YqWbBz</t>
        </is>
      </c>
      <c r="B23" s="2" t="n"/>
      <c r="C23" s="2">
        <f>COUNT(E23:G23)</f>
        <v/>
      </c>
      <c r="D23" s="2" t="inlineStr">
        <is>
          <t>SolanaTracker</t>
        </is>
      </c>
      <c r="E23" s="2" t="n"/>
      <c r="F23" s="2" t="n">
        <v>22</v>
      </c>
      <c r="G23" s="2" t="n"/>
      <c r="H23" s="8" t="n"/>
      <c r="I23" s="8" t="n">
        <v>5145.71</v>
      </c>
      <c r="J23" s="8" t="n"/>
      <c r="K23" s="8">
        <f>IF(COUNT(H23:J23)&gt;=2,MAX(H23:J23)-MIN(H23:J23),"")</f>
        <v/>
      </c>
      <c r="L23" s="9">
        <f>IF(ISNUMBER(K23),IF(MAX(ABS(MAX(H23:J23)),ABS(MIN(H23:J23)))=0,"",K23/MAX(ABS(MAX(H23:J23)),ABS(MIN(H23:J23)))),"")</f>
        <v/>
      </c>
      <c r="M23" s="2">
        <f>IF(AND(ISNUMBER(K23),ISNUMBER(L23)),IF(AND(K23&gt;=Ringkasan!$B$10,L23&gt;=Ringkasan!$B$11),"yes",""),"")</f>
        <v/>
      </c>
      <c r="N23" s="2" t="n"/>
      <c r="O23" s="2" t="n"/>
      <c r="Q23" s="2" t="inlineStr">
        <is>
          <t>gmgn; axiom</t>
        </is>
      </c>
      <c r="S23" s="2" t="n"/>
      <c r="U23" s="2" t="n">
        <v>23</v>
      </c>
    </row>
    <row r="24">
      <c r="A24" s="2" t="inlineStr">
        <is>
          <t>nMK9myLJSftWpbacFUnaHx5bG3VUmbucghQMyHMgFZU</t>
        </is>
      </c>
      <c r="B24" s="2" t="n"/>
      <c r="C24" s="2">
        <f>COUNT(E24:G24)</f>
        <v/>
      </c>
      <c r="D24" s="2" t="inlineStr">
        <is>
          <t>SolanaTracker</t>
        </is>
      </c>
      <c r="E24" s="2" t="n"/>
      <c r="F24" s="2" t="n">
        <v>23</v>
      </c>
      <c r="G24" s="2" t="n"/>
      <c r="H24" s="8" t="n"/>
      <c r="I24" s="8" t="n">
        <v>5109.42</v>
      </c>
      <c r="J24" s="8" t="n"/>
      <c r="K24" s="8">
        <f>IF(COUNT(H24:J24)&gt;=2,MAX(H24:J24)-MIN(H24:J24),"")</f>
        <v/>
      </c>
      <c r="L24" s="9">
        <f>IF(ISNUMBER(K24),IF(MAX(ABS(MAX(H24:J24)),ABS(MIN(H24:J24)))=0,"",K24/MAX(ABS(MAX(H24:J24)),ABS(MIN(H24:J24)))),"")</f>
        <v/>
      </c>
      <c r="M24" s="2">
        <f>IF(AND(ISNUMBER(K24),ISNUMBER(L24)),IF(AND(K24&gt;=Ringkasan!$B$10,L24&gt;=Ringkasan!$B$11),"yes",""),"")</f>
        <v/>
      </c>
      <c r="N24" s="2" t="n"/>
      <c r="O24" s="2" t="n"/>
      <c r="Q24" s="2" t="inlineStr">
        <is>
          <t>axiom</t>
        </is>
      </c>
      <c r="S24" s="2" t="n"/>
      <c r="U24" s="2" t="n">
        <v>24</v>
      </c>
    </row>
    <row r="25">
      <c r="A25" s="2" t="inlineStr">
        <is>
          <t>4xd3Y2qvX43wwfLupdQVsE5ZTpnhXmpn8Dmf4Hufkj9n</t>
        </is>
      </c>
      <c r="B25" s="2" t="n"/>
      <c r="C25" s="2">
        <f>COUNT(E25:G25)</f>
        <v/>
      </c>
      <c r="D25" s="2" t="inlineStr">
        <is>
          <t>SolanaTracker</t>
        </is>
      </c>
      <c r="E25" s="2" t="n"/>
      <c r="F25" s="2" t="n">
        <v>24</v>
      </c>
      <c r="G25" s="2" t="n"/>
      <c r="H25" s="8" t="n"/>
      <c r="I25" s="8" t="n">
        <v>4729</v>
      </c>
      <c r="J25" s="8" t="n"/>
      <c r="K25" s="8">
        <f>IF(COUNT(H25:J25)&gt;=2,MAX(H25:J25)-MIN(H25:J25),"")</f>
        <v/>
      </c>
      <c r="L25" s="9">
        <f>IF(ISNUMBER(K25),IF(MAX(ABS(MAX(H25:J25)),ABS(MIN(H25:J25)))=0,"",K25/MAX(ABS(MAX(H25:J25)),ABS(MIN(H25:J25)))),"")</f>
        <v/>
      </c>
      <c r="M25" s="2">
        <f>IF(AND(ISNUMBER(K25),ISNUMBER(L25)),IF(AND(K25&gt;=Ringkasan!$B$10,L25&gt;=Ringkasan!$B$11),"yes",""),"")</f>
        <v/>
      </c>
      <c r="N25" s="2" t="n"/>
      <c r="O25" s="2" t="n"/>
      <c r="Q25" s="2" t="inlineStr">
        <is>
          <t>axiom</t>
        </is>
      </c>
      <c r="S25" s="2" t="n"/>
      <c r="U25" s="2" t="n">
        <v>25</v>
      </c>
    </row>
    <row r="26">
      <c r="A26" s="2" t="inlineStr">
        <is>
          <t>DXYo85dMRjN72mEwwMADfPcsSknup9D7aoH9TExCDpns</t>
        </is>
      </c>
      <c r="B26" s="2" t="inlineStr">
        <is>
          <t>robustorca18145</t>
        </is>
      </c>
      <c r="C26" s="2">
        <f>COUNT(E26:G26)</f>
        <v/>
      </c>
      <c r="D26" s="2" t="inlineStr">
        <is>
          <t>SolanaTracker</t>
        </is>
      </c>
      <c r="E26" s="2" t="n"/>
      <c r="F26" s="2" t="n">
        <v>25</v>
      </c>
      <c r="G26" s="2" t="n"/>
      <c r="H26" s="8" t="n"/>
      <c r="I26" s="8" t="n">
        <v>4724.37</v>
      </c>
      <c r="J26" s="8" t="n"/>
      <c r="K26" s="8">
        <f>IF(COUNT(H26:J26)&gt;=2,MAX(H26:J26)-MIN(H26:J26),"")</f>
        <v/>
      </c>
      <c r="L26" s="9">
        <f>IF(ISNUMBER(K26),IF(MAX(ABS(MAX(H26:J26)),ABS(MIN(H26:J26)))=0,"",K26/MAX(ABS(MAX(H26:J26)),ABS(MIN(H26:J26)))),"")</f>
        <v/>
      </c>
      <c r="M26" s="2">
        <f>IF(AND(ISNUMBER(K26),ISNUMBER(L26)),IF(AND(K26&gt;=Ringkasan!$B$10,L26&gt;=Ringkasan!$B$11),"yes",""),"")</f>
        <v/>
      </c>
      <c r="N26" s="2" t="n"/>
      <c r="O26" s="2" t="n"/>
      <c r="Q26" s="2" t="inlineStr">
        <is>
          <t>gmgn; axiom; pumpfun-app</t>
        </is>
      </c>
      <c r="S26" s="2" t="n"/>
      <c r="U26" s="2" t="n">
        <v>26</v>
      </c>
    </row>
    <row r="27">
      <c r="A27" s="2" t="inlineStr">
        <is>
          <t>a9Cct2wpjn4vWSR4rsytxm1URyk6vTXo4RTqXFpjyvD</t>
        </is>
      </c>
      <c r="B27" s="2" t="n"/>
      <c r="C27" s="2">
        <f>COUNT(E27:G27)</f>
        <v/>
      </c>
      <c r="D27" s="2" t="inlineStr">
        <is>
          <t>SolanaTracker</t>
        </is>
      </c>
      <c r="E27" s="2" t="n"/>
      <c r="F27" s="2" t="n">
        <v>26</v>
      </c>
      <c r="G27" s="2" t="n"/>
      <c r="H27" s="8" t="n"/>
      <c r="I27" s="8" t="n">
        <v>4707.28</v>
      </c>
      <c r="J27" s="8" t="n"/>
      <c r="K27" s="8">
        <f>IF(COUNT(H27:J27)&gt;=2,MAX(H27:J27)-MIN(H27:J27),"")</f>
        <v/>
      </c>
      <c r="L27" s="9">
        <f>IF(ISNUMBER(K27),IF(MAX(ABS(MAX(H27:J27)),ABS(MIN(H27:J27)))=0,"",K27/MAX(ABS(MAX(H27:J27)),ABS(MIN(H27:J27)))),"")</f>
        <v/>
      </c>
      <c r="M27" s="2">
        <f>IF(AND(ISNUMBER(K27),ISNUMBER(L27)),IF(AND(K27&gt;=Ringkasan!$B$10,L27&gt;=Ringkasan!$B$11),"yes",""),"")</f>
        <v/>
      </c>
      <c r="N27" s="2" t="n"/>
      <c r="O27" s="2" t="n"/>
      <c r="Q27" s="2" t="inlineStr">
        <is>
          <t>axiom</t>
        </is>
      </c>
      <c r="S27" s="2" t="n"/>
      <c r="U27" s="2" t="n">
        <v>27</v>
      </c>
    </row>
    <row r="28">
      <c r="A28" s="2" t="inlineStr">
        <is>
          <t>ALiRQQjiJtfT44VcgLCur12oftvcSjnbUhZJJMPCxyi9</t>
        </is>
      </c>
      <c r="B28" s="2" t="n"/>
      <c r="C28" s="2">
        <f>COUNT(E28:G28)</f>
        <v/>
      </c>
      <c r="D28" s="2" t="inlineStr">
        <is>
          <t>SolanaTracker</t>
        </is>
      </c>
      <c r="E28" s="2" t="n"/>
      <c r="F28" s="2" t="n">
        <v>27</v>
      </c>
      <c r="G28" s="2" t="n"/>
      <c r="H28" s="8" t="n"/>
      <c r="I28" s="8" t="n">
        <v>4632.82</v>
      </c>
      <c r="J28" s="8" t="n"/>
      <c r="K28" s="8">
        <f>IF(COUNT(H28:J28)&gt;=2,MAX(H28:J28)-MIN(H28:J28),"")</f>
        <v/>
      </c>
      <c r="L28" s="9">
        <f>IF(ISNUMBER(K28),IF(MAX(ABS(MAX(H28:J28)),ABS(MIN(H28:J28)))=0,"",K28/MAX(ABS(MAX(H28:J28)),ABS(MIN(H28:J28)))),"")</f>
        <v/>
      </c>
      <c r="M28" s="2">
        <f>IF(AND(ISNUMBER(K28),ISNUMBER(L28)),IF(AND(K28&gt;=Ringkasan!$B$10,L28&gt;=Ringkasan!$B$11),"yes",""),"")</f>
        <v/>
      </c>
      <c r="N28" s="2" t="n"/>
      <c r="O28" s="2" t="n"/>
      <c r="Q28" s="2" t="inlineStr">
        <is>
          <t>gmgn; axiom</t>
        </is>
      </c>
      <c r="S28" s="2" t="n"/>
      <c r="U28" s="2" t="n">
        <v>28</v>
      </c>
    </row>
    <row r="29">
      <c r="A29" s="2" t="inlineStr">
        <is>
          <t>4t6pyETLEd3o7Esm2zhqPVduti4fKXJWPtGWTYZtNLg6</t>
        </is>
      </c>
      <c r="B29" s="2" t="inlineStr">
        <is>
          <t>🖰</t>
        </is>
      </c>
      <c r="C29" s="2">
        <f>COUNT(E29:G29)</f>
        <v/>
      </c>
      <c r="D29" s="2" t="inlineStr">
        <is>
          <t>SolanaTracker</t>
        </is>
      </c>
      <c r="E29" s="2" t="n"/>
      <c r="F29" s="2" t="n">
        <v>28</v>
      </c>
      <c r="G29" s="2" t="n"/>
      <c r="H29" s="8" t="n"/>
      <c r="I29" s="8" t="n">
        <v>4597.56</v>
      </c>
      <c r="J29" s="8" t="n"/>
      <c r="K29" s="8">
        <f>IF(COUNT(H29:J29)&gt;=2,MAX(H29:J29)-MIN(H29:J29),"")</f>
        <v/>
      </c>
      <c r="L29" s="9">
        <f>IF(ISNUMBER(K29),IF(MAX(ABS(MAX(H29:J29)),ABS(MIN(H29:J29)))=0,"",K29/MAX(ABS(MAX(H29:J29)),ABS(MIN(H29:J29)))),"")</f>
        <v/>
      </c>
      <c r="M29" s="2">
        <f>IF(AND(ISNUMBER(K29),ISNUMBER(L29)),IF(AND(K29&gt;=Ringkasan!$B$10,L29&gt;=Ringkasan!$B$11),"yes",""),"")</f>
        <v/>
      </c>
      <c r="N29" s="2" t="n"/>
      <c r="O29" s="2" t="n"/>
      <c r="Q29" s="2" t="inlineStr">
        <is>
          <t>terminal; fomo</t>
        </is>
      </c>
      <c r="S29" s="2" t="n"/>
      <c r="U29" s="2" t="n">
        <v>29</v>
      </c>
    </row>
    <row r="30">
      <c r="A30" s="2" t="inlineStr">
        <is>
          <t>72qiszPvrwpXQesTUaiEeMEYtbXZ8Lqa2jkHuwSoR4Rs</t>
        </is>
      </c>
      <c r="B30" s="2" t="inlineStr">
        <is>
          <t>shrimproll</t>
        </is>
      </c>
      <c r="C30" s="2">
        <f>COUNT(E30:G30)</f>
        <v/>
      </c>
      <c r="D30" s="2" t="inlineStr">
        <is>
          <t>SolanaTracker</t>
        </is>
      </c>
      <c r="E30" s="2" t="n"/>
      <c r="F30" s="2" t="n">
        <v>29</v>
      </c>
      <c r="G30" s="2" t="n"/>
      <c r="H30" s="8" t="n"/>
      <c r="I30" s="8" t="n">
        <v>4588.24</v>
      </c>
      <c r="J30" s="8" t="n"/>
      <c r="K30" s="8">
        <f>IF(COUNT(H30:J30)&gt;=2,MAX(H30:J30)-MIN(H30:J30),"")</f>
        <v/>
      </c>
      <c r="L30" s="9">
        <f>IF(ISNUMBER(K30),IF(MAX(ABS(MAX(H30:J30)),ABS(MIN(H30:J30)))=0,"",K30/MAX(ABS(MAX(H30:J30)),ABS(MIN(H30:J30)))),"")</f>
        <v/>
      </c>
      <c r="M30" s="2">
        <f>IF(AND(ISNUMBER(K30),ISNUMBER(L30)),IF(AND(K30&gt;=Ringkasan!$B$10,L30&gt;=Ringkasan!$B$11),"yes",""),"")</f>
        <v/>
      </c>
      <c r="N30" s="2" t="n"/>
      <c r="O30" s="2" t="n"/>
      <c r="Q30" s="2" t="inlineStr">
        <is>
          <t>fomo</t>
        </is>
      </c>
      <c r="S30" s="2" t="n"/>
      <c r="U30" s="2" t="n">
        <v>30</v>
      </c>
    </row>
    <row r="31">
      <c r="A31" s="2" t="inlineStr">
        <is>
          <t>FT9cwJgg2vf6JcqvEe7A2SAxt469F7zBLtyhsqYW2YvH</t>
        </is>
      </c>
      <c r="B31" s="2" t="inlineStr">
        <is>
          <t>zixzah</t>
        </is>
      </c>
      <c r="C31" s="2">
        <f>COUNT(E31:G31)</f>
        <v/>
      </c>
      <c r="D31" s="2" t="inlineStr">
        <is>
          <t>SolanaTracker</t>
        </is>
      </c>
      <c r="E31" s="2" t="n"/>
      <c r="F31" s="2" t="n">
        <v>30</v>
      </c>
      <c r="G31" s="2" t="n"/>
      <c r="H31" s="8" t="n"/>
      <c r="I31" s="8" t="n">
        <v>4492.97</v>
      </c>
      <c r="J31" s="8" t="n"/>
      <c r="K31" s="8">
        <f>IF(COUNT(H31:J31)&gt;=2,MAX(H31:J31)-MIN(H31:J31),"")</f>
        <v/>
      </c>
      <c r="L31" s="9">
        <f>IF(ISNUMBER(K31),IF(MAX(ABS(MAX(H31:J31)),ABS(MIN(H31:J31)))=0,"",K31/MAX(ABS(MAX(H31:J31)),ABS(MIN(H31:J31)))),"")</f>
        <v/>
      </c>
      <c r="M31" s="2">
        <f>IF(AND(ISNUMBER(K31),ISNUMBER(L31)),IF(AND(K31&gt;=Ringkasan!$B$10,L31&gt;=Ringkasan!$B$11),"yes",""),"")</f>
        <v/>
      </c>
      <c r="N31" s="2" t="n"/>
      <c r="O31" s="2" t="n"/>
      <c r="Q31" s="2" t="inlineStr">
        <is>
          <t>pumpfun-app</t>
        </is>
      </c>
      <c r="S31" s="2" t="n"/>
      <c r="U31" s="2" t="n">
        <v>31</v>
      </c>
    </row>
    <row r="32">
      <c r="A32" s="2" t="inlineStr">
        <is>
          <t>AoQhsez9FxzbJuwhCDJiwCkDSYbvGv3khYAy8StH9R6V</t>
        </is>
      </c>
      <c r="B32" s="2" t="inlineStr">
        <is>
          <t>Soltranza</t>
        </is>
      </c>
      <c r="C32" s="2">
        <f>COUNT(E32:G32)</f>
        <v/>
      </c>
      <c r="D32" s="2" t="inlineStr">
        <is>
          <t>SolanaTracker</t>
        </is>
      </c>
      <c r="E32" s="2" t="n"/>
      <c r="F32" s="2" t="n">
        <v>31</v>
      </c>
      <c r="G32" s="2" t="n"/>
      <c r="H32" s="8" t="n"/>
      <c r="I32" s="8" t="n">
        <v>4369.4</v>
      </c>
      <c r="J32" s="8" t="n"/>
      <c r="K32" s="8">
        <f>IF(COUNT(H32:J32)&gt;=2,MAX(H32:J32)-MIN(H32:J32),"")</f>
        <v/>
      </c>
      <c r="L32" s="9">
        <f>IF(ISNUMBER(K32),IF(MAX(ABS(MAX(H32:J32)),ABS(MIN(H32:J32)))=0,"",K32/MAX(ABS(MAX(H32:J32)),ABS(MIN(H32:J32)))),"")</f>
        <v/>
      </c>
      <c r="M32" s="2">
        <f>IF(AND(ISNUMBER(K32),ISNUMBER(L32)),IF(AND(K32&gt;=Ringkasan!$B$10,L32&gt;=Ringkasan!$B$11),"yes",""),"")</f>
        <v/>
      </c>
      <c r="N32" s="2" t="n"/>
      <c r="O32" s="2" t="n"/>
      <c r="Q32" s="2" t="inlineStr">
        <is>
          <t>pumpfun-app</t>
        </is>
      </c>
      <c r="S32" s="2" t="n"/>
      <c r="U32" s="2" t="n">
        <v>32</v>
      </c>
    </row>
    <row r="33">
      <c r="A33" s="2" t="inlineStr">
        <is>
          <t>HaxVjQgLK9yjdMerZtwsEgPcJReEi42fEgQ33BihsDRc</t>
        </is>
      </c>
      <c r="B33" s="2" t="n"/>
      <c r="C33" s="2">
        <f>COUNT(E33:G33)</f>
        <v/>
      </c>
      <c r="D33" s="2" t="inlineStr">
        <is>
          <t>SolanaTracker</t>
        </is>
      </c>
      <c r="E33" s="2" t="n"/>
      <c r="F33" s="2" t="n">
        <v>32</v>
      </c>
      <c r="G33" s="2" t="n"/>
      <c r="H33" s="8" t="n"/>
      <c r="I33" s="8" t="n">
        <v>4220.83</v>
      </c>
      <c r="J33" s="8" t="n"/>
      <c r="K33" s="8">
        <f>IF(COUNT(H33:J33)&gt;=2,MAX(H33:J33)-MIN(H33:J33),"")</f>
        <v/>
      </c>
      <c r="L33" s="9">
        <f>IF(ISNUMBER(K33),IF(MAX(ABS(MAX(H33:J33)),ABS(MIN(H33:J33)))=0,"",K33/MAX(ABS(MAX(H33:J33)),ABS(MIN(H33:J33)))),"")</f>
        <v/>
      </c>
      <c r="M33" s="2">
        <f>IF(AND(ISNUMBER(K33),ISNUMBER(L33)),IF(AND(K33&gt;=Ringkasan!$B$10,L33&gt;=Ringkasan!$B$11),"yes",""),"")</f>
        <v/>
      </c>
      <c r="N33" s="2" t="n"/>
      <c r="O33" s="2" t="n"/>
      <c r="Q33" s="2" t="inlineStr">
        <is>
          <t>terminal; axiom</t>
        </is>
      </c>
      <c r="S33" s="2" t="n"/>
      <c r="U33" s="2" t="n">
        <v>33</v>
      </c>
    </row>
    <row r="34">
      <c r="A34" s="2" t="inlineStr">
        <is>
          <t>BGb7SiB1hw9bAbUarByVksALdXaz5iaD8mCKQRZJvK7T</t>
        </is>
      </c>
      <c r="B34" s="2" t="n"/>
      <c r="C34" s="2">
        <f>COUNT(E34:G34)</f>
        <v/>
      </c>
      <c r="D34" s="2" t="inlineStr">
        <is>
          <t>SolanaTracker</t>
        </is>
      </c>
      <c r="E34" s="2" t="n"/>
      <c r="F34" s="2" t="n">
        <v>33</v>
      </c>
      <c r="G34" s="2" t="n"/>
      <c r="H34" s="8" t="n"/>
      <c r="I34" s="8" t="n">
        <v>4176.39</v>
      </c>
      <c r="J34" s="8" t="n"/>
      <c r="K34" s="8">
        <f>IF(COUNT(H34:J34)&gt;=2,MAX(H34:J34)-MIN(H34:J34),"")</f>
        <v/>
      </c>
      <c r="L34" s="9">
        <f>IF(ISNUMBER(K34),IF(MAX(ABS(MAX(H34:J34)),ABS(MIN(H34:J34)))=0,"",K34/MAX(ABS(MAX(H34:J34)),ABS(MIN(H34:J34)))),"")</f>
        <v/>
      </c>
      <c r="M34" s="2">
        <f>IF(AND(ISNUMBER(K34),ISNUMBER(L34)),IF(AND(K34&gt;=Ringkasan!$B$10,L34&gt;=Ringkasan!$B$11),"yes",""),"")</f>
        <v/>
      </c>
      <c r="N34" s="2" t="n"/>
      <c r="O34" s="2" t="n"/>
      <c r="Q34" s="2" t="inlineStr">
        <is>
          <t>terminal; axiom</t>
        </is>
      </c>
      <c r="S34" s="2" t="n"/>
      <c r="U34" s="2" t="n">
        <v>34</v>
      </c>
    </row>
    <row r="35">
      <c r="A35" s="2" t="inlineStr">
        <is>
          <t>MRLJSy9LVb6Qy53ae1jXrsKEQW2vS7J4uSsUHBxes5N</t>
        </is>
      </c>
      <c r="B35" s="2" t="n"/>
      <c r="C35" s="2">
        <f>COUNT(E35:G35)</f>
        <v/>
      </c>
      <c r="D35" s="2" t="inlineStr">
        <is>
          <t>SolanaTracker</t>
        </is>
      </c>
      <c r="E35" s="2" t="n"/>
      <c r="F35" s="2" t="n">
        <v>34</v>
      </c>
      <c r="G35" s="2" t="n"/>
      <c r="H35" s="8" t="n"/>
      <c r="I35" s="8" t="n">
        <v>4154.42</v>
      </c>
      <c r="J35" s="8" t="n"/>
      <c r="K35" s="8">
        <f>IF(COUNT(H35:J35)&gt;=2,MAX(H35:J35)-MIN(H35:J35),"")</f>
        <v/>
      </c>
      <c r="L35" s="9">
        <f>IF(ISNUMBER(K35),IF(MAX(ABS(MAX(H35:J35)),ABS(MIN(H35:J35)))=0,"",K35/MAX(ABS(MAX(H35:J35)),ABS(MIN(H35:J35)))),"")</f>
        <v/>
      </c>
      <c r="M35" s="2">
        <f>IF(AND(ISNUMBER(K35),ISNUMBER(L35)),IF(AND(K35&gt;=Ringkasan!$B$10,L35&gt;=Ringkasan!$B$11),"yes",""),"")</f>
        <v/>
      </c>
      <c r="N35" s="2" t="n"/>
      <c r="O35" s="2" t="n"/>
      <c r="Q35" s="2" t="inlineStr">
        <is>
          <t>terminal; axiom</t>
        </is>
      </c>
      <c r="S35" s="2" t="n"/>
      <c r="U35" s="2" t="n">
        <v>35</v>
      </c>
    </row>
    <row r="36">
      <c r="A36" s="2" t="inlineStr">
        <is>
          <t>9cAz6WUKH4UNqzv6uT7TWitp8QHExBoFt3cTqrPBLGFq</t>
        </is>
      </c>
      <c r="B36" s="2" t="n"/>
      <c r="C36" s="2">
        <f>COUNT(E36:G36)</f>
        <v/>
      </c>
      <c r="D36" s="2" t="inlineStr">
        <is>
          <t>SolanaTracker</t>
        </is>
      </c>
      <c r="E36" s="2" t="n"/>
      <c r="F36" s="2" t="n">
        <v>35</v>
      </c>
      <c r="G36" s="2" t="n"/>
      <c r="H36" s="8" t="n"/>
      <c r="I36" s="8" t="n">
        <v>4040.3</v>
      </c>
      <c r="J36" s="8" t="n"/>
      <c r="K36" s="8">
        <f>IF(COUNT(H36:J36)&gt;=2,MAX(H36:J36)-MIN(H36:J36),"")</f>
        <v/>
      </c>
      <c r="L36" s="9">
        <f>IF(ISNUMBER(K36),IF(MAX(ABS(MAX(H36:J36)),ABS(MIN(H36:J36)))=0,"",K36/MAX(ABS(MAX(H36:J36)),ABS(MIN(H36:J36)))),"")</f>
        <v/>
      </c>
      <c r="M36" s="2">
        <f>IF(AND(ISNUMBER(K36),ISNUMBER(L36)),IF(AND(K36&gt;=Ringkasan!$B$10,L36&gt;=Ringkasan!$B$11),"yes",""),"")</f>
        <v/>
      </c>
      <c r="N36" s="2" t="n"/>
      <c r="O36" s="2" t="n"/>
      <c r="Q36" s="2" t="inlineStr">
        <is>
          <t>axiom</t>
        </is>
      </c>
      <c r="S36" s="2" t="n"/>
      <c r="U36" s="2" t="n">
        <v>36</v>
      </c>
    </row>
    <row r="37">
      <c r="A37" s="2" t="inlineStr">
        <is>
          <t>BnNMkMRhQmAd56KPN9141ULX9HhPmQrkSzYxr8CCPbyX</t>
        </is>
      </c>
      <c r="B37" s="2" t="inlineStr">
        <is>
          <t>flatkraken21075</t>
        </is>
      </c>
      <c r="C37" s="2">
        <f>COUNT(E37:G37)</f>
        <v/>
      </c>
      <c r="D37" s="2" t="inlineStr">
        <is>
          <t>SolanaTracker</t>
        </is>
      </c>
      <c r="E37" s="2" t="n"/>
      <c r="F37" s="2" t="n">
        <v>36</v>
      </c>
      <c r="G37" s="2" t="n"/>
      <c r="H37" s="8" t="n"/>
      <c r="I37" s="8" t="n">
        <v>4033.66</v>
      </c>
      <c r="J37" s="8" t="n"/>
      <c r="K37" s="8">
        <f>IF(COUNT(H37:J37)&gt;=2,MAX(H37:J37)-MIN(H37:J37),"")</f>
        <v/>
      </c>
      <c r="L37" s="9">
        <f>IF(ISNUMBER(K37),IF(MAX(ABS(MAX(H37:J37)),ABS(MIN(H37:J37)))=0,"",K37/MAX(ABS(MAX(H37:J37)),ABS(MIN(H37:J37)))),"")</f>
        <v/>
      </c>
      <c r="M37" s="2">
        <f>IF(AND(ISNUMBER(K37),ISNUMBER(L37)),IF(AND(K37&gt;=Ringkasan!$B$10,L37&gt;=Ringkasan!$B$11),"yes",""),"")</f>
        <v/>
      </c>
      <c r="N37" s="2" t="n"/>
      <c r="O37" s="2" t="n"/>
      <c r="Q37" s="2" t="inlineStr">
        <is>
          <t>axiom; pumpfun-app</t>
        </is>
      </c>
      <c r="S37" s="2" t="n"/>
      <c r="U37" s="2" t="n">
        <v>37</v>
      </c>
    </row>
    <row r="38">
      <c r="A38" s="2" t="inlineStr">
        <is>
          <t>Bp95jUJaBUc4ZQ2c5c2V6YMf1FEDDUMKRCXdkYBvoTXx</t>
        </is>
      </c>
      <c r="B38" s="2" t="n"/>
      <c r="C38" s="2">
        <f>COUNT(E38:G38)</f>
        <v/>
      </c>
      <c r="D38" s="2" t="inlineStr">
        <is>
          <t>SolanaTracker</t>
        </is>
      </c>
      <c r="E38" s="2" t="n"/>
      <c r="F38" s="2" t="n">
        <v>37</v>
      </c>
      <c r="G38" s="2" t="n"/>
      <c r="H38" s="8" t="n"/>
      <c r="I38" s="8" t="n">
        <v>3977.37</v>
      </c>
      <c r="J38" s="8" t="n"/>
      <c r="K38" s="8">
        <f>IF(COUNT(H38:J38)&gt;=2,MAX(H38:J38)-MIN(H38:J38),"")</f>
        <v/>
      </c>
      <c r="L38" s="9">
        <f>IF(ISNUMBER(K38),IF(MAX(ABS(MAX(H38:J38)),ABS(MIN(H38:J38)))=0,"",K38/MAX(ABS(MAX(H38:J38)),ABS(MIN(H38:J38)))),"")</f>
        <v/>
      </c>
      <c r="M38" s="2">
        <f>IF(AND(ISNUMBER(K38),ISNUMBER(L38)),IF(AND(K38&gt;=Ringkasan!$B$10,L38&gt;=Ringkasan!$B$11),"yes",""),"")</f>
        <v/>
      </c>
      <c r="N38" s="2" t="n"/>
      <c r="O38" s="2" t="n"/>
      <c r="Q38" s="2" t="inlineStr">
        <is>
          <t>gmgn; axiom</t>
        </is>
      </c>
      <c r="S38" s="2" t="n"/>
      <c r="U38" s="2" t="n">
        <v>38</v>
      </c>
    </row>
    <row r="39">
      <c r="A39" s="2" t="inlineStr">
        <is>
          <t>fagtUj7V7wKxSo2Jjc1NfcBexwnygGYbTYgN9eNXx8X</t>
        </is>
      </c>
      <c r="B39" s="2" t="n"/>
      <c r="C39" s="2">
        <f>COUNT(E39:G39)</f>
        <v/>
      </c>
      <c r="D39" s="2" t="inlineStr">
        <is>
          <t>SolanaTracker</t>
        </is>
      </c>
      <c r="E39" s="2" t="n"/>
      <c r="F39" s="2" t="n">
        <v>38</v>
      </c>
      <c r="G39" s="2" t="n"/>
      <c r="H39" s="8" t="n"/>
      <c r="I39" s="8" t="n">
        <v>3942.66</v>
      </c>
      <c r="J39" s="8" t="n"/>
      <c r="K39" s="8">
        <f>IF(COUNT(H39:J39)&gt;=2,MAX(H39:J39)-MIN(H39:J39),"")</f>
        <v/>
      </c>
      <c r="L39" s="9">
        <f>IF(ISNUMBER(K39),IF(MAX(ABS(MAX(H39:J39)),ABS(MIN(H39:J39)))=0,"",K39/MAX(ABS(MAX(H39:J39)),ABS(MIN(H39:J39)))),"")</f>
        <v/>
      </c>
      <c r="M39" s="2">
        <f>IF(AND(ISNUMBER(K39),ISNUMBER(L39)),IF(AND(K39&gt;=Ringkasan!$B$10,L39&gt;=Ringkasan!$B$11),"yes",""),"")</f>
        <v/>
      </c>
      <c r="N39" s="2" t="n"/>
      <c r="O39" s="2" t="n"/>
      <c r="Q39" s="2" t="inlineStr">
        <is>
          <t>terminal; axiom</t>
        </is>
      </c>
      <c r="S39" s="2" t="n"/>
      <c r="U39" s="2" t="n">
        <v>39</v>
      </c>
    </row>
    <row r="40">
      <c r="A40" s="2" t="inlineStr">
        <is>
          <t>BUkTdidtehRJ6YvKDErxcFaoEGTVTEtKHedePgE6Pq4z</t>
        </is>
      </c>
      <c r="B40" s="2" t="n"/>
      <c r="C40" s="2">
        <f>COUNT(E40:G40)</f>
        <v/>
      </c>
      <c r="D40" s="2" t="inlineStr">
        <is>
          <t>SolanaTracker</t>
        </is>
      </c>
      <c r="E40" s="2" t="n"/>
      <c r="F40" s="2" t="n">
        <v>39</v>
      </c>
      <c r="G40" s="2" t="n"/>
      <c r="H40" s="8" t="n"/>
      <c r="I40" s="8" t="n">
        <v>3888.33</v>
      </c>
      <c r="J40" s="8" t="n"/>
      <c r="K40" s="8">
        <f>IF(COUNT(H40:J40)&gt;=2,MAX(H40:J40)-MIN(H40:J40),"")</f>
        <v/>
      </c>
      <c r="L40" s="9">
        <f>IF(ISNUMBER(K40),IF(MAX(ABS(MAX(H40:J40)),ABS(MIN(H40:J40)))=0,"",K40/MAX(ABS(MAX(H40:J40)),ABS(MIN(H40:J40)))),"")</f>
        <v/>
      </c>
      <c r="M40" s="2">
        <f>IF(AND(ISNUMBER(K40),ISNUMBER(L40)),IF(AND(K40&gt;=Ringkasan!$B$10,L40&gt;=Ringkasan!$B$11),"yes",""),"")</f>
        <v/>
      </c>
      <c r="N40" s="2" t="n"/>
      <c r="O40" s="2" t="n"/>
      <c r="Q40" s="2" t="inlineStr">
        <is>
          <t>gmgn; axiom</t>
        </is>
      </c>
      <c r="S40" s="2" t="n"/>
      <c r="U40" s="2" t="n">
        <v>40</v>
      </c>
    </row>
    <row r="41">
      <c r="A41" s="2" t="inlineStr">
        <is>
          <t>HaJHNvK7htkYMmzFvHSoJBcE9ZPz46MpF5hQSpbTEsoD</t>
        </is>
      </c>
      <c r="B41" s="2" t="n"/>
      <c r="C41" s="2">
        <f>COUNT(E41:G41)</f>
        <v/>
      </c>
      <c r="D41" s="2" t="inlineStr">
        <is>
          <t>SolanaTracker</t>
        </is>
      </c>
      <c r="E41" s="2" t="n"/>
      <c r="F41" s="2" t="n">
        <v>40</v>
      </c>
      <c r="G41" s="2" t="n"/>
      <c r="H41" s="8" t="n"/>
      <c r="I41" s="8" t="n">
        <v>3814.93</v>
      </c>
      <c r="J41" s="8" t="n"/>
      <c r="K41" s="8">
        <f>IF(COUNT(H41:J41)&gt;=2,MAX(H41:J41)-MIN(H41:J41),"")</f>
        <v/>
      </c>
      <c r="L41" s="9">
        <f>IF(ISNUMBER(K41),IF(MAX(ABS(MAX(H41:J41)),ABS(MIN(H41:J41)))=0,"",K41/MAX(ABS(MAX(H41:J41)),ABS(MIN(H41:J41)))),"")</f>
        <v/>
      </c>
      <c r="M41" s="2">
        <f>IF(AND(ISNUMBER(K41),ISNUMBER(L41)),IF(AND(K41&gt;=Ringkasan!$B$10,L41&gt;=Ringkasan!$B$11),"yes",""),"")</f>
        <v/>
      </c>
      <c r="N41" s="2" t="n"/>
      <c r="O41" s="2" t="n"/>
      <c r="Q41" s="2" t="inlineStr">
        <is>
          <t>fomo</t>
        </is>
      </c>
      <c r="S41" s="2" t="n"/>
      <c r="U41" s="2" t="n">
        <v>41</v>
      </c>
    </row>
    <row r="42">
      <c r="A42" s="2" t="inlineStr">
        <is>
          <t>8NVkytV1CtoNBXGFtwXwh4KQdbgVcA6hFmym1gMuRHru</t>
        </is>
      </c>
      <c r="B42" s="2" t="n"/>
      <c r="C42" s="2">
        <f>COUNT(E42:G42)</f>
        <v/>
      </c>
      <c r="D42" s="2" t="inlineStr">
        <is>
          <t>SolanaTracker</t>
        </is>
      </c>
      <c r="E42" s="2" t="n"/>
      <c r="F42" s="2" t="n">
        <v>41</v>
      </c>
      <c r="G42" s="2" t="n"/>
      <c r="H42" s="8" t="n"/>
      <c r="I42" s="8" t="n">
        <v>3786.37</v>
      </c>
      <c r="J42" s="8" t="n"/>
      <c r="K42" s="8">
        <f>IF(COUNT(H42:J42)&gt;=2,MAX(H42:J42)-MIN(H42:J42),"")</f>
        <v/>
      </c>
      <c r="L42" s="9">
        <f>IF(ISNUMBER(K42),IF(MAX(ABS(MAX(H42:J42)),ABS(MIN(H42:J42)))=0,"",K42/MAX(ABS(MAX(H42:J42)),ABS(MIN(H42:J42)))),"")</f>
        <v/>
      </c>
      <c r="M42" s="2">
        <f>IF(AND(ISNUMBER(K42),ISNUMBER(L42)),IF(AND(K42&gt;=Ringkasan!$B$10,L42&gt;=Ringkasan!$B$11),"yes",""),"")</f>
        <v/>
      </c>
      <c r="N42" s="2" t="n"/>
      <c r="O42" s="2" t="n"/>
      <c r="Q42" s="2" t="inlineStr">
        <is>
          <t>terminal; axiom</t>
        </is>
      </c>
      <c r="S42" s="2" t="n"/>
      <c r="U42" s="2" t="n">
        <v>42</v>
      </c>
    </row>
    <row r="43">
      <c r="A43" s="2" t="inlineStr">
        <is>
          <t>F5vgPDmbuBDUuBtVtgCvKQV3FYjj9XESVMWhQopv8wiu</t>
        </is>
      </c>
      <c r="B43" s="2" t="n"/>
      <c r="C43" s="2">
        <f>COUNT(E43:G43)</f>
        <v/>
      </c>
      <c r="D43" s="2" t="inlineStr">
        <is>
          <t>SolanaTracker</t>
        </is>
      </c>
      <c r="E43" s="2" t="n"/>
      <c r="F43" s="2" t="n">
        <v>42</v>
      </c>
      <c r="G43" s="2" t="n"/>
      <c r="H43" s="8" t="n"/>
      <c r="I43" s="8" t="n">
        <v>3780.52</v>
      </c>
      <c r="J43" s="8" t="n"/>
      <c r="K43" s="8">
        <f>IF(COUNT(H43:J43)&gt;=2,MAX(H43:J43)-MIN(H43:J43),"")</f>
        <v/>
      </c>
      <c r="L43" s="9">
        <f>IF(ISNUMBER(K43),IF(MAX(ABS(MAX(H43:J43)),ABS(MIN(H43:J43)))=0,"",K43/MAX(ABS(MAX(H43:J43)),ABS(MIN(H43:J43)))),"")</f>
        <v/>
      </c>
      <c r="M43" s="2">
        <f>IF(AND(ISNUMBER(K43),ISNUMBER(L43)),IF(AND(K43&gt;=Ringkasan!$B$10,L43&gt;=Ringkasan!$B$11),"yes",""),"")</f>
        <v/>
      </c>
      <c r="N43" s="2" t="n"/>
      <c r="O43" s="2" t="n"/>
      <c r="Q43" s="2" t="inlineStr">
        <is>
          <t>gmgn; axiom</t>
        </is>
      </c>
      <c r="S43" s="2" t="n"/>
      <c r="U43" s="2" t="n">
        <v>43</v>
      </c>
    </row>
    <row r="44">
      <c r="A44" s="2" t="inlineStr">
        <is>
          <t>HTj39cpttcxAZJgG2BbubFxZ3UVKtTN2X2Yjwj4zBB3n</t>
        </is>
      </c>
      <c r="B44" s="2" t="n"/>
      <c r="C44" s="2">
        <f>COUNT(E44:G44)</f>
        <v/>
      </c>
      <c r="D44" s="2" t="inlineStr">
        <is>
          <t>SolanaTracker</t>
        </is>
      </c>
      <c r="E44" s="2" t="n"/>
      <c r="F44" s="2" t="n">
        <v>43</v>
      </c>
      <c r="G44" s="2" t="n"/>
      <c r="H44" s="8" t="n"/>
      <c r="I44" s="8" t="n">
        <v>3779.71</v>
      </c>
      <c r="J44" s="8" t="n"/>
      <c r="K44" s="8">
        <f>IF(COUNT(H44:J44)&gt;=2,MAX(H44:J44)-MIN(H44:J44),"")</f>
        <v/>
      </c>
      <c r="L44" s="9">
        <f>IF(ISNUMBER(K44),IF(MAX(ABS(MAX(H44:J44)),ABS(MIN(H44:J44)))=0,"",K44/MAX(ABS(MAX(H44:J44)),ABS(MIN(H44:J44)))),"")</f>
        <v/>
      </c>
      <c r="M44" s="2">
        <f>IF(AND(ISNUMBER(K44),ISNUMBER(L44)),IF(AND(K44&gt;=Ringkasan!$B$10,L44&gt;=Ringkasan!$B$11),"yes",""),"")</f>
        <v/>
      </c>
      <c r="N44" s="2" t="n"/>
      <c r="O44" s="2" t="n"/>
      <c r="Q44" s="2" t="inlineStr">
        <is>
          <t>potential_bot</t>
        </is>
      </c>
      <c r="S44" s="2" t="n"/>
      <c r="U44" s="2" t="n">
        <v>44</v>
      </c>
    </row>
    <row r="45">
      <c r="A45" s="2" t="inlineStr">
        <is>
          <t>Czhmsewv9eM86H7B8a2RQH4J5Du2em5sei6qpBwBg6oX</t>
        </is>
      </c>
      <c r="B45" s="2" t="n"/>
      <c r="C45" s="2">
        <f>COUNT(E45:G45)</f>
        <v/>
      </c>
      <c r="D45" s="2" t="inlineStr">
        <is>
          <t>SolanaTracker</t>
        </is>
      </c>
      <c r="E45" s="2" t="n"/>
      <c r="F45" s="2" t="n">
        <v>44</v>
      </c>
      <c r="G45" s="2" t="n"/>
      <c r="H45" s="8" t="n"/>
      <c r="I45" s="8" t="n">
        <v>3748.9</v>
      </c>
      <c r="J45" s="8" t="n"/>
      <c r="K45" s="8">
        <f>IF(COUNT(H45:J45)&gt;=2,MAX(H45:J45)-MIN(H45:J45),"")</f>
        <v/>
      </c>
      <c r="L45" s="9">
        <f>IF(ISNUMBER(K45),IF(MAX(ABS(MAX(H45:J45)),ABS(MIN(H45:J45)))=0,"",K45/MAX(ABS(MAX(H45:J45)),ABS(MIN(H45:J45)))),"")</f>
        <v/>
      </c>
      <c r="M45" s="2">
        <f>IF(AND(ISNUMBER(K45),ISNUMBER(L45)),IF(AND(K45&gt;=Ringkasan!$B$10,L45&gt;=Ringkasan!$B$11),"yes",""),"")</f>
        <v/>
      </c>
      <c r="N45" s="2" t="n"/>
      <c r="O45" s="2" t="n"/>
      <c r="Q45" s="2" t="inlineStr">
        <is>
          <t>terminal; axiom</t>
        </is>
      </c>
      <c r="S45" s="2" t="n"/>
      <c r="U45" s="2" t="n">
        <v>45</v>
      </c>
    </row>
    <row r="46">
      <c r="A46" s="2" t="inlineStr">
        <is>
          <t>619F3XLsNzUp6FoP7AM5bkWvz8FcpgWxwXz9QWEvuxeS</t>
        </is>
      </c>
      <c r="B46" s="2" t="n"/>
      <c r="C46" s="2">
        <f>COUNT(E46:G46)</f>
        <v/>
      </c>
      <c r="D46" s="2" t="inlineStr">
        <is>
          <t>SolanaTracker</t>
        </is>
      </c>
      <c r="E46" s="2" t="n"/>
      <c r="F46" s="2" t="n">
        <v>45</v>
      </c>
      <c r="G46" s="2" t="n"/>
      <c r="H46" s="8" t="n"/>
      <c r="I46" s="8" t="n">
        <v>3604.48</v>
      </c>
      <c r="J46" s="8" t="n"/>
      <c r="K46" s="8">
        <f>IF(COUNT(H46:J46)&gt;=2,MAX(H46:J46)-MIN(H46:J46),"")</f>
        <v/>
      </c>
      <c r="L46" s="9">
        <f>IF(ISNUMBER(K46),IF(MAX(ABS(MAX(H46:J46)),ABS(MIN(H46:J46)))=0,"",K46/MAX(ABS(MAX(H46:J46)),ABS(MIN(H46:J46)))),"")</f>
        <v/>
      </c>
      <c r="M46" s="2">
        <f>IF(AND(ISNUMBER(K46),ISNUMBER(L46)),IF(AND(K46&gt;=Ringkasan!$B$10,L46&gt;=Ringkasan!$B$11),"yes",""),"")</f>
        <v/>
      </c>
      <c r="N46" s="2" t="n"/>
      <c r="O46" s="2" t="n"/>
      <c r="Q46" s="2" t="inlineStr">
        <is>
          <t>bloom</t>
        </is>
      </c>
      <c r="S46" s="2" t="n"/>
      <c r="U46" s="2" t="n">
        <v>46</v>
      </c>
    </row>
    <row r="47">
      <c r="A47" s="2" t="inlineStr">
        <is>
          <t>3LssL9Q9L8rTa5vnT8YUorukVxLP7nPawt4gcBywMeDN</t>
        </is>
      </c>
      <c r="B47" s="2" t="n"/>
      <c r="C47" s="2">
        <f>COUNT(E47:G47)</f>
        <v/>
      </c>
      <c r="D47" s="2" t="inlineStr">
        <is>
          <t>SolanaTracker</t>
        </is>
      </c>
      <c r="E47" s="2" t="n"/>
      <c r="F47" s="2" t="n">
        <v>46</v>
      </c>
      <c r="G47" s="2" t="n"/>
      <c r="H47" s="8" t="n"/>
      <c r="I47" s="8" t="n">
        <v>3477.93</v>
      </c>
      <c r="J47" s="8" t="n"/>
      <c r="K47" s="8">
        <f>IF(COUNT(H47:J47)&gt;=2,MAX(H47:J47)-MIN(H47:J47),"")</f>
        <v/>
      </c>
      <c r="L47" s="9">
        <f>IF(ISNUMBER(K47),IF(MAX(ABS(MAX(H47:J47)),ABS(MIN(H47:J47)))=0,"",K47/MAX(ABS(MAX(H47:J47)),ABS(MIN(H47:J47)))),"")</f>
        <v/>
      </c>
      <c r="M47" s="2">
        <f>IF(AND(ISNUMBER(K47),ISNUMBER(L47)),IF(AND(K47&gt;=Ringkasan!$B$10,L47&gt;=Ringkasan!$B$11),"yes",""),"")</f>
        <v/>
      </c>
      <c r="N47" s="2" t="n"/>
      <c r="O47" s="2" t="n"/>
      <c r="Q47" s="2" t="inlineStr">
        <is>
          <t>axiom</t>
        </is>
      </c>
      <c r="S47" s="2" t="n"/>
      <c r="U47" s="2" t="n">
        <v>47</v>
      </c>
    </row>
    <row r="48">
      <c r="A48" s="2" t="inlineStr">
        <is>
          <t>5cytp5CRc34XfbFFfoBafFRdxmAUjERgrqqfKJiy2cF5</t>
        </is>
      </c>
      <c r="B48" s="2" t="n"/>
      <c r="C48" s="2">
        <f>COUNT(E48:G48)</f>
        <v/>
      </c>
      <c r="D48" s="2" t="inlineStr">
        <is>
          <t>SolanaTracker</t>
        </is>
      </c>
      <c r="E48" s="2" t="n"/>
      <c r="F48" s="2" t="n">
        <v>47</v>
      </c>
      <c r="G48" s="2" t="n"/>
      <c r="H48" s="8" t="n"/>
      <c r="I48" s="8" t="n">
        <v>3451</v>
      </c>
      <c r="J48" s="8" t="n"/>
      <c r="K48" s="8">
        <f>IF(COUNT(H48:J48)&gt;=2,MAX(H48:J48)-MIN(H48:J48),"")</f>
        <v/>
      </c>
      <c r="L48" s="9">
        <f>IF(ISNUMBER(K48),IF(MAX(ABS(MAX(H48:J48)),ABS(MIN(H48:J48)))=0,"",K48/MAX(ABS(MAX(H48:J48)),ABS(MIN(H48:J48)))),"")</f>
        <v/>
      </c>
      <c r="M48" s="2">
        <f>IF(AND(ISNUMBER(K48),ISNUMBER(L48)),IF(AND(K48&gt;=Ringkasan!$B$10,L48&gt;=Ringkasan!$B$11),"yes",""),"")</f>
        <v/>
      </c>
      <c r="N48" s="2" t="n"/>
      <c r="O48" s="2" t="n"/>
      <c r="Q48" s="2" t="inlineStr">
        <is>
          <t>gmgn; axiom</t>
        </is>
      </c>
      <c r="S48" s="2" t="n"/>
      <c r="U48" s="2" t="n">
        <v>48</v>
      </c>
    </row>
    <row r="49">
      <c r="A49" s="2" t="inlineStr">
        <is>
          <t>4ktUkQzKZBTFVLtMdRB8adLZzmxXRBHxDwzXUpS4D3nd</t>
        </is>
      </c>
      <c r="B49" s="2" t="n"/>
      <c r="C49" s="2">
        <f>COUNT(E49:G49)</f>
        <v/>
      </c>
      <c r="D49" s="2" t="inlineStr">
        <is>
          <t>SolanaTracker</t>
        </is>
      </c>
      <c r="E49" s="2" t="n"/>
      <c r="F49" s="2" t="n">
        <v>48</v>
      </c>
      <c r="G49" s="2" t="n"/>
      <c r="H49" s="8" t="n"/>
      <c r="I49" s="8" t="n">
        <v>3377.95</v>
      </c>
      <c r="J49" s="8" t="n"/>
      <c r="K49" s="8">
        <f>IF(COUNT(H49:J49)&gt;=2,MAX(H49:J49)-MIN(H49:J49),"")</f>
        <v/>
      </c>
      <c r="L49" s="9">
        <f>IF(ISNUMBER(K49),IF(MAX(ABS(MAX(H49:J49)),ABS(MIN(H49:J49)))=0,"",K49/MAX(ABS(MAX(H49:J49)),ABS(MIN(H49:J49)))),"")</f>
        <v/>
      </c>
      <c r="M49" s="2">
        <f>IF(AND(ISNUMBER(K49),ISNUMBER(L49)),IF(AND(K49&gt;=Ringkasan!$B$10,L49&gt;=Ringkasan!$B$11),"yes",""),"")</f>
        <v/>
      </c>
      <c r="N49" s="2" t="n"/>
      <c r="O49" s="2" t="n"/>
      <c r="Q49" s="2" t="n"/>
      <c r="S49" s="2" t="n"/>
      <c r="U49" s="2" t="n">
        <v>49</v>
      </c>
    </row>
    <row r="50">
      <c r="A50" s="2" t="inlineStr">
        <is>
          <t>B5iWGT3Vuv3bpXpA1khPiMUcEjXQytTTrvCrE6vfDuHY</t>
        </is>
      </c>
      <c r="B50" s="2" t="n"/>
      <c r="C50" s="2">
        <f>COUNT(E50:G50)</f>
        <v/>
      </c>
      <c r="D50" s="2" t="inlineStr">
        <is>
          <t>SolanaTracker</t>
        </is>
      </c>
      <c r="E50" s="2" t="n"/>
      <c r="F50" s="2" t="n">
        <v>49</v>
      </c>
      <c r="G50" s="2" t="n"/>
      <c r="H50" s="8" t="n"/>
      <c r="I50" s="8" t="n">
        <v>3356.11</v>
      </c>
      <c r="J50" s="8" t="n"/>
      <c r="K50" s="8">
        <f>IF(COUNT(H50:J50)&gt;=2,MAX(H50:J50)-MIN(H50:J50),"")</f>
        <v/>
      </c>
      <c r="L50" s="9">
        <f>IF(ISNUMBER(K50),IF(MAX(ABS(MAX(H50:J50)),ABS(MIN(H50:J50)))=0,"",K50/MAX(ABS(MAX(H50:J50)),ABS(MIN(H50:J50)))),"")</f>
        <v/>
      </c>
      <c r="M50" s="2">
        <f>IF(AND(ISNUMBER(K50),ISNUMBER(L50)),IF(AND(K50&gt;=Ringkasan!$B$10,L50&gt;=Ringkasan!$B$11),"yes",""),"")</f>
        <v/>
      </c>
      <c r="N50" s="2" t="n"/>
      <c r="O50" s="2" t="n"/>
      <c r="Q50" s="2" t="n"/>
      <c r="S50" s="2" t="n"/>
      <c r="U50" s="2" t="n">
        <v>50</v>
      </c>
    </row>
    <row r="51">
      <c r="A51" s="2" t="inlineStr">
        <is>
          <t>5nZVAuxrdBze1QXf6RLNPhXfwEfAiVLyvvVgHHBJ7Yn6</t>
        </is>
      </c>
      <c r="B51" s="2" t="n"/>
      <c r="C51" s="2">
        <f>COUNT(E51:G51)</f>
        <v/>
      </c>
      <c r="D51" s="2" t="inlineStr">
        <is>
          <t>SolanaTracker</t>
        </is>
      </c>
      <c r="E51" s="2" t="n"/>
      <c r="F51" s="2" t="n">
        <v>50</v>
      </c>
      <c r="G51" s="2" t="n"/>
      <c r="H51" s="8" t="n"/>
      <c r="I51" s="8" t="n">
        <v>3338.94</v>
      </c>
      <c r="J51" s="8" t="n"/>
      <c r="K51" s="8">
        <f>IF(COUNT(H51:J51)&gt;=2,MAX(H51:J51)-MIN(H51:J51),"")</f>
        <v/>
      </c>
      <c r="L51" s="9">
        <f>IF(ISNUMBER(K51),IF(MAX(ABS(MAX(H51:J51)),ABS(MIN(H51:J51)))=0,"",K51/MAX(ABS(MAX(H51:J51)),ABS(MIN(H51:J51)))),"")</f>
        <v/>
      </c>
      <c r="M51" s="2">
        <f>IF(AND(ISNUMBER(K51),ISNUMBER(L51)),IF(AND(K51&gt;=Ringkasan!$B$10,L51&gt;=Ringkasan!$B$11),"yes",""),"")</f>
        <v/>
      </c>
      <c r="N51" s="2" t="n"/>
      <c r="O51" s="2" t="n"/>
      <c r="Q51" s="2" t="inlineStr">
        <is>
          <t>potential_bot</t>
        </is>
      </c>
      <c r="S51" s="2" t="n"/>
      <c r="U51" s="2" t="n">
        <v>51</v>
      </c>
    </row>
    <row r="52">
      <c r="A52" s="2" t="inlineStr">
        <is>
          <t>7wKdqDS6Qpv4PLf2iFdbeCVoUwQmBfJcnHQAvS34Q9cM</t>
        </is>
      </c>
      <c r="B52" s="2" t="n"/>
      <c r="C52" s="2">
        <f>COUNT(E52:G52)</f>
        <v/>
      </c>
      <c r="D52" s="2" t="inlineStr">
        <is>
          <t>SolanaTracker</t>
        </is>
      </c>
      <c r="E52" s="2" t="n"/>
      <c r="F52" s="2" t="n">
        <v>51</v>
      </c>
      <c r="G52" s="2" t="n"/>
      <c r="H52" s="8" t="n"/>
      <c r="I52" s="8" t="n">
        <v>3268.73</v>
      </c>
      <c r="J52" s="8" t="n"/>
      <c r="K52" s="8">
        <f>IF(COUNT(H52:J52)&gt;=2,MAX(H52:J52)-MIN(H52:J52),"")</f>
        <v/>
      </c>
      <c r="L52" s="9">
        <f>IF(ISNUMBER(K52),IF(MAX(ABS(MAX(H52:J52)),ABS(MIN(H52:J52)))=0,"",K52/MAX(ABS(MAX(H52:J52)),ABS(MIN(H52:J52)))),"")</f>
        <v/>
      </c>
      <c r="M52" s="2">
        <f>IF(AND(ISNUMBER(K52),ISNUMBER(L52)),IF(AND(K52&gt;=Ringkasan!$B$10,L52&gt;=Ringkasan!$B$11),"yes",""),"")</f>
        <v/>
      </c>
      <c r="N52" s="2" t="n"/>
      <c r="O52" s="2" t="n"/>
      <c r="Q52" s="2" t="inlineStr">
        <is>
          <t>terminal; axiom</t>
        </is>
      </c>
      <c r="S52" s="2" t="n"/>
      <c r="U52" s="2" t="n">
        <v>52</v>
      </c>
    </row>
    <row r="53">
      <c r="A53" s="2" t="inlineStr">
        <is>
          <t>FgoAHx7wegW7iRMP5TotV7RJcjamxAG38puczxKubjZo</t>
        </is>
      </c>
      <c r="B53" s="2" t="n"/>
      <c r="C53" s="2">
        <f>COUNT(E53:G53)</f>
        <v/>
      </c>
      <c r="D53" s="2" t="inlineStr">
        <is>
          <t>SolanaTracker</t>
        </is>
      </c>
      <c r="E53" s="2" t="n"/>
      <c r="F53" s="2" t="n">
        <v>52</v>
      </c>
      <c r="G53" s="2" t="n"/>
      <c r="H53" s="8" t="n"/>
      <c r="I53" s="8" t="n">
        <v>3200.24</v>
      </c>
      <c r="J53" s="8" t="n"/>
      <c r="K53" s="8">
        <f>IF(COUNT(H53:J53)&gt;=2,MAX(H53:J53)-MIN(H53:J53),"")</f>
        <v/>
      </c>
      <c r="L53" s="9">
        <f>IF(ISNUMBER(K53),IF(MAX(ABS(MAX(H53:J53)),ABS(MIN(H53:J53)))=0,"",K53/MAX(ABS(MAX(H53:J53)),ABS(MIN(H53:J53)))),"")</f>
        <v/>
      </c>
      <c r="M53" s="2">
        <f>IF(AND(ISNUMBER(K53),ISNUMBER(L53)),IF(AND(K53&gt;=Ringkasan!$B$10,L53&gt;=Ringkasan!$B$11),"yes",""),"")</f>
        <v/>
      </c>
      <c r="N53" s="2" t="n"/>
      <c r="O53" s="2" t="n"/>
      <c r="Q53" s="2" t="n"/>
      <c r="S53" s="2" t="n"/>
      <c r="U53" s="2" t="n">
        <v>53</v>
      </c>
    </row>
    <row r="54">
      <c r="A54" s="2" t="inlineStr">
        <is>
          <t>6sEjKGnzcDXZeTa1eHZf59HRZ5E3vNy8xbQhSSA6M7mL</t>
        </is>
      </c>
      <c r="B54" s="2" t="inlineStr">
        <is>
          <t>sahrawi</t>
        </is>
      </c>
      <c r="C54" s="2">
        <f>COUNT(E54:G54)</f>
        <v/>
      </c>
      <c r="D54" s="2" t="inlineStr">
        <is>
          <t>SolanaTracker</t>
        </is>
      </c>
      <c r="E54" s="2" t="n"/>
      <c r="F54" s="2" t="n">
        <v>53</v>
      </c>
      <c r="G54" s="2" t="n"/>
      <c r="H54" s="8" t="n"/>
      <c r="I54" s="8" t="n">
        <v>3164.51</v>
      </c>
      <c r="J54" s="8" t="n"/>
      <c r="K54" s="8">
        <f>IF(COUNT(H54:J54)&gt;=2,MAX(H54:J54)-MIN(H54:J54),"")</f>
        <v/>
      </c>
      <c r="L54" s="9">
        <f>IF(ISNUMBER(K54),IF(MAX(ABS(MAX(H54:J54)),ABS(MIN(H54:J54)))=0,"",K54/MAX(ABS(MAX(H54:J54)),ABS(MIN(H54:J54)))),"")</f>
        <v/>
      </c>
      <c r="M54" s="2">
        <f>IF(AND(ISNUMBER(K54),ISNUMBER(L54)),IF(AND(K54&gt;=Ringkasan!$B$10,L54&gt;=Ringkasan!$B$11),"yes",""),"")</f>
        <v/>
      </c>
      <c r="N54" s="2" t="n"/>
      <c r="O54" s="2" t="n"/>
      <c r="Q54" s="2" t="inlineStr">
        <is>
          <t>fomo</t>
        </is>
      </c>
      <c r="S54" s="2" t="n"/>
      <c r="U54" s="2" t="n">
        <v>54</v>
      </c>
    </row>
    <row r="55">
      <c r="A55" s="2" t="inlineStr">
        <is>
          <t>ESdowVD6fznGk3ydgBmkuvqH9NCC2EJhZpGhwaMNtmLv</t>
        </is>
      </c>
      <c r="B55" s="2" t="n"/>
      <c r="C55" s="2">
        <f>COUNT(E55:G55)</f>
        <v/>
      </c>
      <c r="D55" s="2" t="inlineStr">
        <is>
          <t>SolanaTracker</t>
        </is>
      </c>
      <c r="E55" s="2" t="n"/>
      <c r="F55" s="2" t="n">
        <v>54</v>
      </c>
      <c r="G55" s="2" t="n"/>
      <c r="H55" s="8" t="n"/>
      <c r="I55" s="8" t="n">
        <v>3119.88</v>
      </c>
      <c r="J55" s="8" t="n"/>
      <c r="K55" s="8">
        <f>IF(COUNT(H55:J55)&gt;=2,MAX(H55:J55)-MIN(H55:J55),"")</f>
        <v/>
      </c>
      <c r="L55" s="9">
        <f>IF(ISNUMBER(K55),IF(MAX(ABS(MAX(H55:J55)),ABS(MIN(H55:J55)))=0,"",K55/MAX(ABS(MAX(H55:J55)),ABS(MIN(H55:J55)))),"")</f>
        <v/>
      </c>
      <c r="M55" s="2">
        <f>IF(AND(ISNUMBER(K55),ISNUMBER(L55)),IF(AND(K55&gt;=Ringkasan!$B$10,L55&gt;=Ringkasan!$B$11),"yes",""),"")</f>
        <v/>
      </c>
      <c r="N55" s="2" t="n"/>
      <c r="O55" s="2" t="n"/>
      <c r="Q55" s="2" t="n"/>
      <c r="S55" s="2" t="n"/>
      <c r="U55" s="2" t="n">
        <v>55</v>
      </c>
    </row>
    <row r="56">
      <c r="A56" s="2" t="inlineStr">
        <is>
          <t>ArrTLvxSmeBwcNomrRhsgikg9pfuUPvwdP4VDPfFSWr4</t>
        </is>
      </c>
      <c r="B56" s="2" t="inlineStr">
        <is>
          <t>MajorFaint</t>
        </is>
      </c>
      <c r="C56" s="2">
        <f>COUNT(E56:G56)</f>
        <v/>
      </c>
      <c r="D56" s="2" t="inlineStr">
        <is>
          <t>SolanaTracker</t>
        </is>
      </c>
      <c r="E56" s="2" t="n"/>
      <c r="F56" s="2" t="n">
        <v>55</v>
      </c>
      <c r="G56" s="2" t="n"/>
      <c r="H56" s="8" t="n"/>
      <c r="I56" s="8" t="n">
        <v>3051.89</v>
      </c>
      <c r="J56" s="8" t="n"/>
      <c r="K56" s="8">
        <f>IF(COUNT(H56:J56)&gt;=2,MAX(H56:J56)-MIN(H56:J56),"")</f>
        <v/>
      </c>
      <c r="L56" s="9">
        <f>IF(ISNUMBER(K56),IF(MAX(ABS(MAX(H56:J56)),ABS(MIN(H56:J56)))=0,"",K56/MAX(ABS(MAX(H56:J56)),ABS(MIN(H56:J56)))),"")</f>
        <v/>
      </c>
      <c r="M56" s="2">
        <f>IF(AND(ISNUMBER(K56),ISNUMBER(L56)),IF(AND(K56&gt;=Ringkasan!$B$10,L56&gt;=Ringkasan!$B$11),"yes",""),"")</f>
        <v/>
      </c>
      <c r="N56" s="2" t="n"/>
      <c r="O56" s="2" t="n"/>
      <c r="Q56" s="2" t="inlineStr">
        <is>
          <t>fomo</t>
        </is>
      </c>
      <c r="S56" s="2" t="n"/>
      <c r="U56" s="2" t="n">
        <v>56</v>
      </c>
    </row>
    <row r="57">
      <c r="A57" s="2" t="inlineStr">
        <is>
          <t>5aFK5vMMFCqfRyvx9E2YeZpcDiooE9iDzWACs9k7W2Ef</t>
        </is>
      </c>
      <c r="B57" s="2" t="inlineStr">
        <is>
          <t>fоmο</t>
        </is>
      </c>
      <c r="C57" s="2">
        <f>COUNT(E57:G57)</f>
        <v/>
      </c>
      <c r="D57" s="2" t="inlineStr">
        <is>
          <t>SolanaTracker</t>
        </is>
      </c>
      <c r="E57" s="2" t="n"/>
      <c r="F57" s="2" t="n">
        <v>56</v>
      </c>
      <c r="G57" s="2" t="n"/>
      <c r="H57" s="8" t="n"/>
      <c r="I57" s="8" t="n">
        <v>3047.39</v>
      </c>
      <c r="J57" s="8" t="n"/>
      <c r="K57" s="8">
        <f>IF(COUNT(H57:J57)&gt;=2,MAX(H57:J57)-MIN(H57:J57),"")</f>
        <v/>
      </c>
      <c r="L57" s="9">
        <f>IF(ISNUMBER(K57),IF(MAX(ABS(MAX(H57:J57)),ABS(MIN(H57:J57)))=0,"",K57/MAX(ABS(MAX(H57:J57)),ABS(MIN(H57:J57)))),"")</f>
        <v/>
      </c>
      <c r="M57" s="2">
        <f>IF(AND(ISNUMBER(K57),ISNUMBER(L57)),IF(AND(K57&gt;=Ringkasan!$B$10,L57&gt;=Ringkasan!$B$11),"yes",""),"")</f>
        <v/>
      </c>
      <c r="N57" s="2" t="n"/>
      <c r="O57" s="2" t="n"/>
      <c r="Q57" s="2" t="inlineStr">
        <is>
          <t>fomo</t>
        </is>
      </c>
      <c r="S57" s="2" t="n"/>
      <c r="U57" s="2" t="n">
        <v>57</v>
      </c>
    </row>
    <row r="58">
      <c r="A58" s="2" t="inlineStr">
        <is>
          <t>AWd1poTNmbsWZJqyUE6juB57WsgmVUTpXAAPnnSJEsfY</t>
        </is>
      </c>
      <c r="B58" s="2" t="inlineStr">
        <is>
          <t>moooooodeng</t>
        </is>
      </c>
      <c r="C58" s="2">
        <f>COUNT(E58:G58)</f>
        <v/>
      </c>
      <c r="D58" s="2" t="inlineStr">
        <is>
          <t>SolanaTracker</t>
        </is>
      </c>
      <c r="E58" s="2" t="n"/>
      <c r="F58" s="2" t="n">
        <v>57</v>
      </c>
      <c r="G58" s="2" t="n"/>
      <c r="H58" s="8" t="n"/>
      <c r="I58" s="8" t="n">
        <v>3025.84</v>
      </c>
      <c r="J58" s="8" t="n"/>
      <c r="K58" s="8">
        <f>IF(COUNT(H58:J58)&gt;=2,MAX(H58:J58)-MIN(H58:J58),"")</f>
        <v/>
      </c>
      <c r="L58" s="9">
        <f>IF(ISNUMBER(K58),IF(MAX(ABS(MAX(H58:J58)),ABS(MIN(H58:J58)))=0,"",K58/MAX(ABS(MAX(H58:J58)),ABS(MIN(H58:J58)))),"")</f>
        <v/>
      </c>
      <c r="M58" s="2">
        <f>IF(AND(ISNUMBER(K58),ISNUMBER(L58)),IF(AND(K58&gt;=Ringkasan!$B$10,L58&gt;=Ringkasan!$B$11),"yes",""),"")</f>
        <v/>
      </c>
      <c r="N58" s="2" t="n"/>
      <c r="O58" s="2" t="n"/>
      <c r="Q58" s="2" t="inlineStr">
        <is>
          <t>axiom; pumpfun-app; sns</t>
        </is>
      </c>
      <c r="S58" s="2" t="n"/>
      <c r="U58" s="2" t="n">
        <v>58</v>
      </c>
    </row>
    <row r="59">
      <c r="A59" s="2" t="inlineStr">
        <is>
          <t>3gHrfi6t4xG2KEH4gga9HxLRYqws9iTKdkLG55NwaTZJ</t>
        </is>
      </c>
      <c r="B59" s="2" t="inlineStr">
        <is>
          <t>SkarraOG</t>
        </is>
      </c>
      <c r="C59" s="2">
        <f>COUNT(E59:G59)</f>
        <v/>
      </c>
      <c r="D59" s="2" t="inlineStr">
        <is>
          <t>SolanaTracker</t>
        </is>
      </c>
      <c r="E59" s="2" t="n"/>
      <c r="F59" s="2" t="n">
        <v>58</v>
      </c>
      <c r="G59" s="2" t="n"/>
      <c r="H59" s="8" t="n"/>
      <c r="I59" s="8" t="n">
        <v>2916.09</v>
      </c>
      <c r="J59" s="8" t="n"/>
      <c r="K59" s="8">
        <f>IF(COUNT(H59:J59)&gt;=2,MAX(H59:J59)-MIN(H59:J59),"")</f>
        <v/>
      </c>
      <c r="L59" s="9">
        <f>IF(ISNUMBER(K59),IF(MAX(ABS(MAX(H59:J59)),ABS(MIN(H59:J59)))=0,"",K59/MAX(ABS(MAX(H59:J59)),ABS(MIN(H59:J59)))),"")</f>
        <v/>
      </c>
      <c r="M59" s="2">
        <f>IF(AND(ISNUMBER(K59),ISNUMBER(L59)),IF(AND(K59&gt;=Ringkasan!$B$10,L59&gt;=Ringkasan!$B$11),"yes",""),"")</f>
        <v/>
      </c>
      <c r="N59" s="2" t="n"/>
      <c r="O59" s="2" t="n"/>
      <c r="Q59" s="2" t="inlineStr">
        <is>
          <t>gmgn; terminal; axiom; pumpfun-app</t>
        </is>
      </c>
      <c r="S59" s="2" t="n"/>
      <c r="U59" s="2" t="n">
        <v>59</v>
      </c>
    </row>
    <row r="60">
      <c r="A60" s="2" t="inlineStr">
        <is>
          <t>CR8hKrAUBBwA5zudqx5cVxda2ivgJnCZdC5Z4ua4us5x</t>
        </is>
      </c>
      <c r="B60" s="2" t="n"/>
      <c r="C60" s="2">
        <f>COUNT(E60:G60)</f>
        <v/>
      </c>
      <c r="D60" s="2" t="inlineStr">
        <is>
          <t>SolanaTracker</t>
        </is>
      </c>
      <c r="E60" s="2" t="n"/>
      <c r="F60" s="2" t="n">
        <v>59</v>
      </c>
      <c r="G60" s="2" t="n"/>
      <c r="H60" s="8" t="n"/>
      <c r="I60" s="8" t="n">
        <v>2899.88</v>
      </c>
      <c r="J60" s="8" t="n"/>
      <c r="K60" s="8">
        <f>IF(COUNT(H60:J60)&gt;=2,MAX(H60:J60)-MIN(H60:J60),"")</f>
        <v/>
      </c>
      <c r="L60" s="9">
        <f>IF(ISNUMBER(K60),IF(MAX(ABS(MAX(H60:J60)),ABS(MIN(H60:J60)))=0,"",K60/MAX(ABS(MAX(H60:J60)),ABS(MIN(H60:J60)))),"")</f>
        <v/>
      </c>
      <c r="M60" s="2">
        <f>IF(AND(ISNUMBER(K60),ISNUMBER(L60)),IF(AND(K60&gt;=Ringkasan!$B$10,L60&gt;=Ringkasan!$B$11),"yes",""),"")</f>
        <v/>
      </c>
      <c r="N60" s="2" t="n"/>
      <c r="O60" s="2" t="n"/>
      <c r="Q60" s="2" t="inlineStr">
        <is>
          <t>axiom</t>
        </is>
      </c>
      <c r="S60" s="2" t="n"/>
      <c r="U60" s="2" t="n">
        <v>60</v>
      </c>
    </row>
    <row r="61">
      <c r="A61" s="2" t="inlineStr">
        <is>
          <t>3VpLgxsEpYfXk3KDZpUBTC4k4idqmMBgTvemaeNzm8go</t>
        </is>
      </c>
      <c r="B61" s="2" t="n"/>
      <c r="C61" s="2">
        <f>COUNT(E61:G61)</f>
        <v/>
      </c>
      <c r="D61" s="2" t="inlineStr">
        <is>
          <t>SolanaTracker</t>
        </is>
      </c>
      <c r="E61" s="2" t="n"/>
      <c r="F61" s="2" t="n">
        <v>60</v>
      </c>
      <c r="G61" s="2" t="n"/>
      <c r="H61" s="8" t="n"/>
      <c r="I61" s="8" t="n">
        <v>2885.16</v>
      </c>
      <c r="J61" s="8" t="n"/>
      <c r="K61" s="8">
        <f>IF(COUNT(H61:J61)&gt;=2,MAX(H61:J61)-MIN(H61:J61),"")</f>
        <v/>
      </c>
      <c r="L61" s="9">
        <f>IF(ISNUMBER(K61),IF(MAX(ABS(MAX(H61:J61)),ABS(MIN(H61:J61)))=0,"",K61/MAX(ABS(MAX(H61:J61)),ABS(MIN(H61:J61)))),"")</f>
        <v/>
      </c>
      <c r="M61" s="2">
        <f>IF(AND(ISNUMBER(K61),ISNUMBER(L61)),IF(AND(K61&gt;=Ringkasan!$B$10,L61&gt;=Ringkasan!$B$11),"yes",""),"")</f>
        <v/>
      </c>
      <c r="N61" s="2" t="n"/>
      <c r="O61" s="2" t="n"/>
      <c r="Q61" s="2" t="inlineStr">
        <is>
          <t>axiom</t>
        </is>
      </c>
      <c r="S61" s="2" t="n"/>
      <c r="U61" s="2" t="n">
        <v>61</v>
      </c>
    </row>
    <row r="62">
      <c r="A62" s="2" t="inlineStr">
        <is>
          <t>2PXWP6M66QmLQdG3xnhJ7iFAdTra7Z1gUpfDYdmKZhEX</t>
        </is>
      </c>
      <c r="B62" s="2" t="n"/>
      <c r="C62" s="2">
        <f>COUNT(E62:G62)</f>
        <v/>
      </c>
      <c r="D62" s="2" t="inlineStr">
        <is>
          <t>SolanaTracker</t>
        </is>
      </c>
      <c r="E62" s="2" t="n"/>
      <c r="F62" s="2" t="n">
        <v>61</v>
      </c>
      <c r="G62" s="2" t="n"/>
      <c r="H62" s="8" t="n"/>
      <c r="I62" s="8" t="n">
        <v>2819.44</v>
      </c>
      <c r="J62" s="8" t="n"/>
      <c r="K62" s="8">
        <f>IF(COUNT(H62:J62)&gt;=2,MAX(H62:J62)-MIN(H62:J62),"")</f>
        <v/>
      </c>
      <c r="L62" s="9">
        <f>IF(ISNUMBER(K62),IF(MAX(ABS(MAX(H62:J62)),ABS(MIN(H62:J62)))=0,"",K62/MAX(ABS(MAX(H62:J62)),ABS(MIN(H62:J62)))),"")</f>
        <v/>
      </c>
      <c r="M62" s="2">
        <f>IF(AND(ISNUMBER(K62),ISNUMBER(L62)),IF(AND(K62&gt;=Ringkasan!$B$10,L62&gt;=Ringkasan!$B$11),"yes",""),"")</f>
        <v/>
      </c>
      <c r="N62" s="2" t="n"/>
      <c r="O62" s="2" t="n"/>
      <c r="Q62" s="2" t="inlineStr">
        <is>
          <t>potential_bot</t>
        </is>
      </c>
      <c r="S62" s="2" t="n"/>
      <c r="U62" s="2" t="n">
        <v>62</v>
      </c>
    </row>
    <row r="63">
      <c r="A63" s="2" t="inlineStr">
        <is>
          <t>3AodRvueJrHwMkcCWQWZ8B9oqNYcjeTXq3ZzS5nV9uK9</t>
        </is>
      </c>
      <c r="B63" s="2" t="n"/>
      <c r="C63" s="2">
        <f>COUNT(E63:G63)</f>
        <v/>
      </c>
      <c r="D63" s="2" t="inlineStr">
        <is>
          <t>SolanaTracker</t>
        </is>
      </c>
      <c r="E63" s="2" t="n"/>
      <c r="F63" s="2" t="n">
        <v>62</v>
      </c>
      <c r="G63" s="2" t="n"/>
      <c r="H63" s="8" t="n"/>
      <c r="I63" s="8" t="n">
        <v>2674.57</v>
      </c>
      <c r="J63" s="8" t="n"/>
      <c r="K63" s="8">
        <f>IF(COUNT(H63:J63)&gt;=2,MAX(H63:J63)-MIN(H63:J63),"")</f>
        <v/>
      </c>
      <c r="L63" s="9">
        <f>IF(ISNUMBER(K63),IF(MAX(ABS(MAX(H63:J63)),ABS(MIN(H63:J63)))=0,"",K63/MAX(ABS(MAX(H63:J63)),ABS(MIN(H63:J63)))),"")</f>
        <v/>
      </c>
      <c r="M63" s="2">
        <f>IF(AND(ISNUMBER(K63),ISNUMBER(L63)),IF(AND(K63&gt;=Ringkasan!$B$10,L63&gt;=Ringkasan!$B$11),"yes",""),"")</f>
        <v/>
      </c>
      <c r="N63" s="2" t="n"/>
      <c r="O63" s="2" t="n"/>
      <c r="Q63" s="2" t="n"/>
      <c r="S63" s="2" t="n"/>
      <c r="U63" s="2" t="n">
        <v>63</v>
      </c>
    </row>
    <row r="64">
      <c r="A64" s="2" t="inlineStr">
        <is>
          <t>Hb7pUL95LYCqYDJFvjVW8S2AB83NBBGw5oEEADzJnXUZ</t>
        </is>
      </c>
      <c r="B64" s="2" t="n"/>
      <c r="C64" s="2">
        <f>COUNT(E64:G64)</f>
        <v/>
      </c>
      <c r="D64" s="2" t="inlineStr">
        <is>
          <t>SolanaTracker</t>
        </is>
      </c>
      <c r="E64" s="2" t="n"/>
      <c r="F64" s="2" t="n">
        <v>63</v>
      </c>
      <c r="G64" s="2" t="n"/>
      <c r="H64" s="8" t="n"/>
      <c r="I64" s="8" t="n">
        <v>2570.61</v>
      </c>
      <c r="J64" s="8" t="n"/>
      <c r="K64" s="8">
        <f>IF(COUNT(H64:J64)&gt;=2,MAX(H64:J64)-MIN(H64:J64),"")</f>
        <v/>
      </c>
      <c r="L64" s="9">
        <f>IF(ISNUMBER(K64),IF(MAX(ABS(MAX(H64:J64)),ABS(MIN(H64:J64)))=0,"",K64/MAX(ABS(MAX(H64:J64)),ABS(MIN(H64:J64)))),"")</f>
        <v/>
      </c>
      <c r="M64" s="2">
        <f>IF(AND(ISNUMBER(K64),ISNUMBER(L64)),IF(AND(K64&gt;=Ringkasan!$B$10,L64&gt;=Ringkasan!$B$11),"yes",""),"")</f>
        <v/>
      </c>
      <c r="N64" s="2" t="n"/>
      <c r="O64" s="2" t="n"/>
      <c r="Q64" s="2" t="n"/>
      <c r="S64" s="2" t="n"/>
      <c r="U64" s="2" t="n">
        <v>64</v>
      </c>
    </row>
    <row r="65">
      <c r="A65" s="2" t="inlineStr">
        <is>
          <t>4PsB7xKZ6srTKNT3KQvYepdgKWLCKaB5DintUnjs4vb1</t>
        </is>
      </c>
      <c r="B65" s="2" t="inlineStr">
        <is>
          <t>64_</t>
        </is>
      </c>
      <c r="C65" s="2">
        <f>COUNT(E65:G65)</f>
        <v/>
      </c>
      <c r="D65" s="2" t="inlineStr">
        <is>
          <t>SolanaTracker</t>
        </is>
      </c>
      <c r="E65" s="2" t="n"/>
      <c r="F65" s="2" t="n">
        <v>64</v>
      </c>
      <c r="G65" s="2" t="n"/>
      <c r="H65" s="8" t="n"/>
      <c r="I65" s="8" t="n">
        <v>2479.71</v>
      </c>
      <c r="J65" s="8" t="n"/>
      <c r="K65" s="8">
        <f>IF(COUNT(H65:J65)&gt;=2,MAX(H65:J65)-MIN(H65:J65),"")</f>
        <v/>
      </c>
      <c r="L65" s="9">
        <f>IF(ISNUMBER(K65),IF(MAX(ABS(MAX(H65:J65)),ABS(MIN(H65:J65)))=0,"",K65/MAX(ABS(MAX(H65:J65)),ABS(MIN(H65:J65)))),"")</f>
        <v/>
      </c>
      <c r="M65" s="2">
        <f>IF(AND(ISNUMBER(K65),ISNUMBER(L65)),IF(AND(K65&gt;=Ringkasan!$B$10,L65&gt;=Ringkasan!$B$11),"yes",""),"")</f>
        <v/>
      </c>
      <c r="N65" s="2" t="n"/>
      <c r="O65" s="2" t="n"/>
      <c r="Q65" s="2" t="inlineStr">
        <is>
          <t>pumpfun-app</t>
        </is>
      </c>
      <c r="S65" s="2" t="n"/>
      <c r="U65" s="2" t="n">
        <v>65</v>
      </c>
    </row>
    <row r="66">
      <c r="A66" s="2" t="inlineStr">
        <is>
          <t>Eh8ZKN76kaH2avqQgEZSbvNLnjab6nM41N1DAXWNE1YL</t>
        </is>
      </c>
      <c r="B66" s="2" t="n"/>
      <c r="C66" s="2">
        <f>COUNT(E66:G66)</f>
        <v/>
      </c>
      <c r="D66" s="2" t="inlineStr">
        <is>
          <t>SolanaTracker</t>
        </is>
      </c>
      <c r="E66" s="2" t="n"/>
      <c r="F66" s="2" t="n">
        <v>65</v>
      </c>
      <c r="G66" s="2" t="n"/>
      <c r="H66" s="8" t="n"/>
      <c r="I66" s="8" t="n">
        <v>2469.35</v>
      </c>
      <c r="J66" s="8" t="n"/>
      <c r="K66" s="8">
        <f>IF(COUNT(H66:J66)&gt;=2,MAX(H66:J66)-MIN(H66:J66),"")</f>
        <v/>
      </c>
      <c r="L66" s="9">
        <f>IF(ISNUMBER(K66),IF(MAX(ABS(MAX(H66:J66)),ABS(MIN(H66:J66)))=0,"",K66/MAX(ABS(MAX(H66:J66)),ABS(MIN(H66:J66)))),"")</f>
        <v/>
      </c>
      <c r="M66" s="2">
        <f>IF(AND(ISNUMBER(K66),ISNUMBER(L66)),IF(AND(K66&gt;=Ringkasan!$B$10,L66&gt;=Ringkasan!$B$11),"yes",""),"")</f>
        <v/>
      </c>
      <c r="N66" s="2" t="n"/>
      <c r="O66" s="2" t="n"/>
      <c r="Q66" s="2" t="inlineStr">
        <is>
          <t>axiom</t>
        </is>
      </c>
      <c r="S66" s="2" t="n"/>
      <c r="U66" s="2" t="n">
        <v>66</v>
      </c>
    </row>
    <row r="67">
      <c r="A67" s="2" t="inlineStr">
        <is>
          <t>13rMKjaMmjEJzvevoT5XwtivwoAzXay9dbNhdU15f5ZH</t>
        </is>
      </c>
      <c r="B67" s="2" t="n"/>
      <c r="C67" s="2">
        <f>COUNT(E67:G67)</f>
        <v/>
      </c>
      <c r="D67" s="2" t="inlineStr">
        <is>
          <t>SolanaTracker</t>
        </is>
      </c>
      <c r="E67" s="2" t="n"/>
      <c r="F67" s="2" t="n">
        <v>66</v>
      </c>
      <c r="G67" s="2" t="n"/>
      <c r="H67" s="8" t="n"/>
      <c r="I67" s="8" t="n">
        <v>2462.79</v>
      </c>
      <c r="J67" s="8" t="n"/>
      <c r="K67" s="8">
        <f>IF(COUNT(H67:J67)&gt;=2,MAX(H67:J67)-MIN(H67:J67),"")</f>
        <v/>
      </c>
      <c r="L67" s="9">
        <f>IF(ISNUMBER(K67),IF(MAX(ABS(MAX(H67:J67)),ABS(MIN(H67:J67)))=0,"",K67/MAX(ABS(MAX(H67:J67)),ABS(MIN(H67:J67)))),"")</f>
        <v/>
      </c>
      <c r="M67" s="2">
        <f>IF(AND(ISNUMBER(K67),ISNUMBER(L67)),IF(AND(K67&gt;=Ringkasan!$B$10,L67&gt;=Ringkasan!$B$11),"yes",""),"")</f>
        <v/>
      </c>
      <c r="N67" s="2" t="n"/>
      <c r="O67" s="2" t="n"/>
      <c r="Q67" s="2" t="inlineStr">
        <is>
          <t>gmgn; axiom</t>
        </is>
      </c>
      <c r="S67" s="2" t="n"/>
      <c r="U67" s="2" t="n">
        <v>67</v>
      </c>
    </row>
    <row r="68">
      <c r="A68" s="2" t="inlineStr">
        <is>
          <t>EKRjEP1zJ7PgKMfV7a2GPPpAJDRBFm6mbNH7r5jgrfii</t>
        </is>
      </c>
      <c r="B68" s="2" t="inlineStr">
        <is>
          <t>The Winner</t>
        </is>
      </c>
      <c r="C68" s="2">
        <f>COUNT(E68:G68)</f>
        <v/>
      </c>
      <c r="D68" s="2" t="inlineStr">
        <is>
          <t>SolanaTracker</t>
        </is>
      </c>
      <c r="E68" s="2" t="n"/>
      <c r="F68" s="2" t="n">
        <v>67</v>
      </c>
      <c r="G68" s="2" t="n"/>
      <c r="H68" s="8" t="n"/>
      <c r="I68" s="8" t="n">
        <v>2444.1</v>
      </c>
      <c r="J68" s="8" t="n"/>
      <c r="K68" s="8">
        <f>IF(COUNT(H68:J68)&gt;=2,MAX(H68:J68)-MIN(H68:J68),"")</f>
        <v/>
      </c>
      <c r="L68" s="9">
        <f>IF(ISNUMBER(K68),IF(MAX(ABS(MAX(H68:J68)),ABS(MIN(H68:J68)))=0,"",K68/MAX(ABS(MAX(H68:J68)),ABS(MIN(H68:J68)))),"")</f>
        <v/>
      </c>
      <c r="M68" s="2">
        <f>IF(AND(ISNUMBER(K68),ISNUMBER(L68)),IF(AND(K68&gt;=Ringkasan!$B$10,L68&gt;=Ringkasan!$B$11),"yes",""),"")</f>
        <v/>
      </c>
      <c r="N68" s="2" t="n"/>
      <c r="O68" s="2" t="n"/>
      <c r="Q68" s="2" t="inlineStr">
        <is>
          <t>fomo</t>
        </is>
      </c>
      <c r="S68" s="2" t="n"/>
      <c r="U68" s="2" t="n">
        <v>68</v>
      </c>
    </row>
    <row r="69">
      <c r="A69" s="2" t="inlineStr">
        <is>
          <t>HgEMXPgmiVuJy2VPR5CqNTmTEir5j73te6jeEg9xXQhj</t>
        </is>
      </c>
      <c r="B69" s="2" t="inlineStr">
        <is>
          <t>milehigh90</t>
        </is>
      </c>
      <c r="C69" s="2">
        <f>COUNT(E69:G69)</f>
        <v/>
      </c>
      <c r="D69" s="2" t="inlineStr">
        <is>
          <t>SolanaTracker</t>
        </is>
      </c>
      <c r="E69" s="2" t="n"/>
      <c r="F69" s="2" t="n">
        <v>68</v>
      </c>
      <c r="G69" s="2" t="n"/>
      <c r="H69" s="8" t="n"/>
      <c r="I69" s="8" t="n">
        <v>2429.78</v>
      </c>
      <c r="J69" s="8" t="n"/>
      <c r="K69" s="8">
        <f>IF(COUNT(H69:J69)&gt;=2,MAX(H69:J69)-MIN(H69:J69),"")</f>
        <v/>
      </c>
      <c r="L69" s="9">
        <f>IF(ISNUMBER(K69),IF(MAX(ABS(MAX(H69:J69)),ABS(MIN(H69:J69)))=0,"",K69/MAX(ABS(MAX(H69:J69)),ABS(MIN(H69:J69)))),"")</f>
        <v/>
      </c>
      <c r="M69" s="2">
        <f>IF(AND(ISNUMBER(K69),ISNUMBER(L69)),IF(AND(K69&gt;=Ringkasan!$B$10,L69&gt;=Ringkasan!$B$11),"yes",""),"")</f>
        <v/>
      </c>
      <c r="N69" s="2" t="n"/>
      <c r="O69" s="2" t="n"/>
      <c r="Q69" s="2" t="inlineStr">
        <is>
          <t>terminal; pumpfun-app</t>
        </is>
      </c>
      <c r="S69" s="2" t="n"/>
      <c r="U69" s="2" t="n">
        <v>69</v>
      </c>
    </row>
    <row r="70">
      <c r="A70" s="2" t="inlineStr">
        <is>
          <t>DS22w2we1qvcPtAKJhBCBf7aLdC4cqcrNtgSZLroeFv9</t>
        </is>
      </c>
      <c r="B70" s="2" t="n"/>
      <c r="C70" s="2">
        <f>COUNT(E70:G70)</f>
        <v/>
      </c>
      <c r="D70" s="2" t="inlineStr">
        <is>
          <t>SolanaTracker</t>
        </is>
      </c>
      <c r="E70" s="2" t="n"/>
      <c r="F70" s="2" t="n">
        <v>69</v>
      </c>
      <c r="G70" s="2" t="n"/>
      <c r="H70" s="8" t="n"/>
      <c r="I70" s="8" t="n">
        <v>2405.53</v>
      </c>
      <c r="J70" s="8" t="n"/>
      <c r="K70" s="8">
        <f>IF(COUNT(H70:J70)&gt;=2,MAX(H70:J70)-MIN(H70:J70),"")</f>
        <v/>
      </c>
      <c r="L70" s="9">
        <f>IF(ISNUMBER(K70),IF(MAX(ABS(MAX(H70:J70)),ABS(MIN(H70:J70)))=0,"",K70/MAX(ABS(MAX(H70:J70)),ABS(MIN(H70:J70)))),"")</f>
        <v/>
      </c>
      <c r="M70" s="2">
        <f>IF(AND(ISNUMBER(K70),ISNUMBER(L70)),IF(AND(K70&gt;=Ringkasan!$B$10,L70&gt;=Ringkasan!$B$11),"yes",""),"")</f>
        <v/>
      </c>
      <c r="N70" s="2" t="n"/>
      <c r="O70" s="2" t="n"/>
      <c r="Q70" s="2" t="inlineStr">
        <is>
          <t>axiom</t>
        </is>
      </c>
      <c r="S70" s="2" t="n"/>
      <c r="U70" s="2" t="n">
        <v>70</v>
      </c>
    </row>
    <row r="71">
      <c r="A71" s="2" t="inlineStr">
        <is>
          <t>7xbz4bo1pM8ruVMjDskUa4Zr2ZGfqLqrGSNxAQ1SXWpX</t>
        </is>
      </c>
      <c r="B71" s="2" t="n"/>
      <c r="C71" s="2">
        <f>COUNT(E71:G71)</f>
        <v/>
      </c>
      <c r="D71" s="2" t="inlineStr">
        <is>
          <t>SolanaTracker</t>
        </is>
      </c>
      <c r="E71" s="2" t="n"/>
      <c r="F71" s="2" t="n">
        <v>70</v>
      </c>
      <c r="G71" s="2" t="n"/>
      <c r="H71" s="8" t="n"/>
      <c r="I71" s="8" t="n">
        <v>2377.98</v>
      </c>
      <c r="J71" s="8" t="n"/>
      <c r="K71" s="8">
        <f>IF(COUNT(H71:J71)&gt;=2,MAX(H71:J71)-MIN(H71:J71),"")</f>
        <v/>
      </c>
      <c r="L71" s="9">
        <f>IF(ISNUMBER(K71),IF(MAX(ABS(MAX(H71:J71)),ABS(MIN(H71:J71)))=0,"",K71/MAX(ABS(MAX(H71:J71)),ABS(MIN(H71:J71)))),"")</f>
        <v/>
      </c>
      <c r="M71" s="2">
        <f>IF(AND(ISNUMBER(K71),ISNUMBER(L71)),IF(AND(K71&gt;=Ringkasan!$B$10,L71&gt;=Ringkasan!$B$11),"yes",""),"")</f>
        <v/>
      </c>
      <c r="N71" s="2" t="n"/>
      <c r="O71" s="2" t="n"/>
      <c r="Q71" s="2" t="n"/>
      <c r="S71" s="2" t="n"/>
      <c r="U71" s="2" t="n">
        <v>71</v>
      </c>
    </row>
    <row r="72">
      <c r="A72" s="2" t="inlineStr">
        <is>
          <t>EmxhsE5eJF6TZ8XJy7hjizjpACirUqpwFGkK4E2euZMP</t>
        </is>
      </c>
      <c r="B72" s="2" t="inlineStr">
        <is>
          <t>apeonfonecycle</t>
        </is>
      </c>
      <c r="C72" s="2">
        <f>COUNT(E72:G72)</f>
        <v/>
      </c>
      <c r="D72" s="2" t="inlineStr">
        <is>
          <t>SolanaTracker</t>
        </is>
      </c>
      <c r="E72" s="2" t="n"/>
      <c r="F72" s="2" t="n">
        <v>71</v>
      </c>
      <c r="G72" s="2" t="n"/>
      <c r="H72" s="8" t="n"/>
      <c r="I72" s="8" t="n">
        <v>2372.41</v>
      </c>
      <c r="J72" s="8" t="n"/>
      <c r="K72" s="8">
        <f>IF(COUNT(H72:J72)&gt;=2,MAX(H72:J72)-MIN(H72:J72),"")</f>
        <v/>
      </c>
      <c r="L72" s="9">
        <f>IF(ISNUMBER(K72),IF(MAX(ABS(MAX(H72:J72)),ABS(MIN(H72:J72)))=0,"",K72/MAX(ABS(MAX(H72:J72)),ABS(MIN(H72:J72)))),"")</f>
        <v/>
      </c>
      <c r="M72" s="2">
        <f>IF(AND(ISNUMBER(K72),ISNUMBER(L72)),IF(AND(K72&gt;=Ringkasan!$B$10,L72&gt;=Ringkasan!$B$11),"yes",""),"")</f>
        <v/>
      </c>
      <c r="N72" s="2" t="n"/>
      <c r="O72" s="2" t="n"/>
      <c r="Q72" s="2" t="inlineStr">
        <is>
          <t>potential_bot; pumpfun-app</t>
        </is>
      </c>
      <c r="S72" s="2" t="n"/>
      <c r="U72" s="2" t="n">
        <v>72</v>
      </c>
    </row>
    <row r="73">
      <c r="A73" s="2" t="inlineStr">
        <is>
          <t>Gd6DaJoQ3ZnRLbc1Gam27WUFfD4nyxjQ2rqyrSkeYH83</t>
        </is>
      </c>
      <c r="B73" s="2" t="n"/>
      <c r="C73" s="2">
        <f>COUNT(E73:G73)</f>
        <v/>
      </c>
      <c r="D73" s="2" t="inlineStr">
        <is>
          <t>SolanaTracker</t>
        </is>
      </c>
      <c r="E73" s="2" t="n"/>
      <c r="F73" s="2" t="n">
        <v>72</v>
      </c>
      <c r="G73" s="2" t="n"/>
      <c r="H73" s="8" t="n"/>
      <c r="I73" s="8" t="n">
        <v>2323.97</v>
      </c>
      <c r="J73" s="8" t="n"/>
      <c r="K73" s="8">
        <f>IF(COUNT(H73:J73)&gt;=2,MAX(H73:J73)-MIN(H73:J73),"")</f>
        <v/>
      </c>
      <c r="L73" s="9">
        <f>IF(ISNUMBER(K73),IF(MAX(ABS(MAX(H73:J73)),ABS(MIN(H73:J73)))=0,"",K73/MAX(ABS(MAX(H73:J73)),ABS(MIN(H73:J73)))),"")</f>
        <v/>
      </c>
      <c r="M73" s="2">
        <f>IF(AND(ISNUMBER(K73),ISNUMBER(L73)),IF(AND(K73&gt;=Ringkasan!$B$10,L73&gt;=Ringkasan!$B$11),"yes",""),"")</f>
        <v/>
      </c>
      <c r="N73" s="2" t="n"/>
      <c r="O73" s="2" t="n"/>
      <c r="Q73" s="2" t="inlineStr">
        <is>
          <t>axiom</t>
        </is>
      </c>
      <c r="S73" s="2" t="n"/>
      <c r="U73" s="2" t="n">
        <v>73</v>
      </c>
    </row>
    <row r="74">
      <c r="A74" s="2" t="inlineStr">
        <is>
          <t>HDUApJgLvgydExUht2MpEwfGmB1z8ifBHm2HjRF2d7Ce</t>
        </is>
      </c>
      <c r="B74" s="2" t="n"/>
      <c r="C74" s="2">
        <f>COUNT(E74:G74)</f>
        <v/>
      </c>
      <c r="D74" s="2" t="inlineStr">
        <is>
          <t>SolanaTracker</t>
        </is>
      </c>
      <c r="E74" s="2" t="n"/>
      <c r="F74" s="2" t="n">
        <v>73</v>
      </c>
      <c r="G74" s="2" t="n"/>
      <c r="H74" s="8" t="n"/>
      <c r="I74" s="8" t="n">
        <v>2265.12</v>
      </c>
      <c r="J74" s="8" t="n"/>
      <c r="K74" s="8">
        <f>IF(COUNT(H74:J74)&gt;=2,MAX(H74:J74)-MIN(H74:J74),"")</f>
        <v/>
      </c>
      <c r="L74" s="9">
        <f>IF(ISNUMBER(K74),IF(MAX(ABS(MAX(H74:J74)),ABS(MIN(H74:J74)))=0,"",K74/MAX(ABS(MAX(H74:J74)),ABS(MIN(H74:J74)))),"")</f>
        <v/>
      </c>
      <c r="M74" s="2">
        <f>IF(AND(ISNUMBER(K74),ISNUMBER(L74)),IF(AND(K74&gt;=Ringkasan!$B$10,L74&gt;=Ringkasan!$B$11),"yes",""),"")</f>
        <v/>
      </c>
      <c r="N74" s="2" t="n"/>
      <c r="O74" s="2" t="n"/>
      <c r="Q74" s="2" t="inlineStr">
        <is>
          <t>terminal; axiom</t>
        </is>
      </c>
      <c r="S74" s="2" t="n"/>
      <c r="U74" s="2" t="n">
        <v>74</v>
      </c>
    </row>
    <row r="75">
      <c r="A75" s="2" t="inlineStr">
        <is>
          <t>2BqTvkdyMMXk1aFThvRa9VcSeFG9i3iP8GAj2F6azX1y</t>
        </is>
      </c>
      <c r="B75" s="2" t="n"/>
      <c r="C75" s="2">
        <f>COUNT(E75:G75)</f>
        <v/>
      </c>
      <c r="D75" s="2" t="inlineStr">
        <is>
          <t>SolanaTracker</t>
        </is>
      </c>
      <c r="E75" s="2" t="n"/>
      <c r="F75" s="2" t="n">
        <v>74</v>
      </c>
      <c r="G75" s="2" t="n"/>
      <c r="H75" s="8" t="n"/>
      <c r="I75" s="8" t="n">
        <v>2207.77</v>
      </c>
      <c r="J75" s="8" t="n"/>
      <c r="K75" s="8">
        <f>IF(COUNT(H75:J75)&gt;=2,MAX(H75:J75)-MIN(H75:J75),"")</f>
        <v/>
      </c>
      <c r="L75" s="9">
        <f>IF(ISNUMBER(K75),IF(MAX(ABS(MAX(H75:J75)),ABS(MIN(H75:J75)))=0,"",K75/MAX(ABS(MAX(H75:J75)),ABS(MIN(H75:J75)))),"")</f>
        <v/>
      </c>
      <c r="M75" s="2">
        <f>IF(AND(ISNUMBER(K75),ISNUMBER(L75)),IF(AND(K75&gt;=Ringkasan!$B$10,L75&gt;=Ringkasan!$B$11),"yes",""),"")</f>
        <v/>
      </c>
      <c r="N75" s="2" t="n"/>
      <c r="O75" s="2" t="n"/>
      <c r="Q75" s="2" t="inlineStr">
        <is>
          <t>potential_bot</t>
        </is>
      </c>
      <c r="S75" s="2" t="n"/>
      <c r="U75" s="2" t="n">
        <v>75</v>
      </c>
    </row>
    <row r="76">
      <c r="A76" s="2" t="inlineStr">
        <is>
          <t>7xDrDWw3E9FaTkfnix5p9raznLioFEFLrTLKyDSY3rcR</t>
        </is>
      </c>
      <c r="B76" s="2" t="inlineStr">
        <is>
          <t>laicai</t>
        </is>
      </c>
      <c r="C76" s="2">
        <f>COUNT(E76:G76)</f>
        <v/>
      </c>
      <c r="D76" s="2" t="inlineStr">
        <is>
          <t>SolanaTracker</t>
        </is>
      </c>
      <c r="E76" s="2" t="n"/>
      <c r="F76" s="2" t="n">
        <v>75</v>
      </c>
      <c r="G76" s="2" t="n"/>
      <c r="H76" s="8" t="n"/>
      <c r="I76" s="8" t="n">
        <v>2205.95</v>
      </c>
      <c r="J76" s="8" t="n"/>
      <c r="K76" s="8">
        <f>IF(COUNT(H76:J76)&gt;=2,MAX(H76:J76)-MIN(H76:J76),"")</f>
        <v/>
      </c>
      <c r="L76" s="9">
        <f>IF(ISNUMBER(K76),IF(MAX(ABS(MAX(H76:J76)),ABS(MIN(H76:J76)))=0,"",K76/MAX(ABS(MAX(H76:J76)),ABS(MIN(H76:J76)))),"")</f>
        <v/>
      </c>
      <c r="M76" s="2">
        <f>IF(AND(ISNUMBER(K76),ISNUMBER(L76)),IF(AND(K76&gt;=Ringkasan!$B$10,L76&gt;=Ringkasan!$B$11),"yes",""),"")</f>
        <v/>
      </c>
      <c r="N76" s="2" t="n"/>
      <c r="O76" s="2" t="n"/>
      <c r="Q76" s="2" t="inlineStr">
        <is>
          <t>potential_bot; gmgn; fomo</t>
        </is>
      </c>
      <c r="S76" s="2" t="n"/>
      <c r="U76" s="2" t="n">
        <v>76</v>
      </c>
    </row>
    <row r="77">
      <c r="A77" s="2" t="inlineStr">
        <is>
          <t>GM7Hrz2bDq33ezMtL6KGidSWZXMWgZ6qBuugkb5H8NvN</t>
        </is>
      </c>
      <c r="B77" s="2" t="inlineStr">
        <is>
          <t>Beaver</t>
        </is>
      </c>
      <c r="C77" s="2">
        <f>COUNT(E77:G77)</f>
        <v/>
      </c>
      <c r="D77" s="2" t="inlineStr">
        <is>
          <t>SolanaTracker</t>
        </is>
      </c>
      <c r="E77" s="2" t="n"/>
      <c r="F77" s="2" t="n">
        <v>76</v>
      </c>
      <c r="G77" s="2" t="n"/>
      <c r="H77" s="8" t="n"/>
      <c r="I77" s="8" t="n">
        <v>2175.29</v>
      </c>
      <c r="J77" s="8" t="n"/>
      <c r="K77" s="8">
        <f>IF(COUNT(H77:J77)&gt;=2,MAX(H77:J77)-MIN(H77:J77),"")</f>
        <v/>
      </c>
      <c r="L77" s="9">
        <f>IF(ISNUMBER(K77),IF(MAX(ABS(MAX(H77:J77)),ABS(MIN(H77:J77)))=0,"",K77/MAX(ABS(MAX(H77:J77)),ABS(MIN(H77:J77)))),"")</f>
        <v/>
      </c>
      <c r="M77" s="2">
        <f>IF(AND(ISNUMBER(K77),ISNUMBER(L77)),IF(AND(K77&gt;=Ringkasan!$B$10,L77&gt;=Ringkasan!$B$11),"yes",""),"")</f>
        <v/>
      </c>
      <c r="N77" s="2" t="n"/>
      <c r="O77" s="2" t="n"/>
      <c r="Q77" s="2" t="inlineStr">
        <is>
          <t>kol; axiom; pumpfun-app; sns</t>
        </is>
      </c>
      <c r="S77" s="2" t="n"/>
      <c r="U77" s="2" t="n">
        <v>77</v>
      </c>
    </row>
    <row r="78">
      <c r="A78" s="2" t="inlineStr">
        <is>
          <t>7j8Kuur875iLiBjamVSjyXfrbwdr2z2XV7WVKgthtrbx</t>
        </is>
      </c>
      <c r="B78" s="2" t="inlineStr">
        <is>
          <t>eodriozola</t>
        </is>
      </c>
      <c r="C78" s="2">
        <f>COUNT(E78:G78)</f>
        <v/>
      </c>
      <c r="D78" s="2" t="inlineStr">
        <is>
          <t>SolanaTracker</t>
        </is>
      </c>
      <c r="E78" s="2" t="n"/>
      <c r="F78" s="2" t="n">
        <v>77</v>
      </c>
      <c r="G78" s="2" t="n"/>
      <c r="H78" s="8" t="n"/>
      <c r="I78" s="8" t="n">
        <v>2169.77</v>
      </c>
      <c r="J78" s="8" t="n"/>
      <c r="K78" s="8">
        <f>IF(COUNT(H78:J78)&gt;=2,MAX(H78:J78)-MIN(H78:J78),"")</f>
        <v/>
      </c>
      <c r="L78" s="9">
        <f>IF(ISNUMBER(K78),IF(MAX(ABS(MAX(H78:J78)),ABS(MIN(H78:J78)))=0,"",K78/MAX(ABS(MAX(H78:J78)),ABS(MIN(H78:J78)))),"")</f>
        <v/>
      </c>
      <c r="M78" s="2">
        <f>IF(AND(ISNUMBER(K78),ISNUMBER(L78)),IF(AND(K78&gt;=Ringkasan!$B$10,L78&gt;=Ringkasan!$B$11),"yes",""),"")</f>
        <v/>
      </c>
      <c r="N78" s="2" t="n"/>
      <c r="O78" s="2" t="n"/>
      <c r="Q78" s="2" t="inlineStr">
        <is>
          <t>fomo</t>
        </is>
      </c>
      <c r="S78" s="2" t="n"/>
      <c r="U78" s="2" t="n">
        <v>78</v>
      </c>
    </row>
    <row r="79">
      <c r="A79" s="2" t="inlineStr">
        <is>
          <t>HL4mxRc42MnoMNSgb6XNNG2uysCcp9R9cnhUfMYFK16n</t>
        </is>
      </c>
      <c r="B79" s="2" t="n"/>
      <c r="C79" s="2">
        <f>COUNT(E79:G79)</f>
        <v/>
      </c>
      <c r="D79" s="2" t="inlineStr">
        <is>
          <t>SolanaTracker</t>
        </is>
      </c>
      <c r="E79" s="2" t="n"/>
      <c r="F79" s="2" t="n">
        <v>78</v>
      </c>
      <c r="G79" s="2" t="n"/>
      <c r="H79" s="8" t="n"/>
      <c r="I79" s="8" t="n">
        <v>2162.26</v>
      </c>
      <c r="J79" s="8" t="n"/>
      <c r="K79" s="8">
        <f>IF(COUNT(H79:J79)&gt;=2,MAX(H79:J79)-MIN(H79:J79),"")</f>
        <v/>
      </c>
      <c r="L79" s="9">
        <f>IF(ISNUMBER(K79),IF(MAX(ABS(MAX(H79:J79)),ABS(MIN(H79:J79)))=0,"",K79/MAX(ABS(MAX(H79:J79)),ABS(MIN(H79:J79)))),"")</f>
        <v/>
      </c>
      <c r="M79" s="2">
        <f>IF(AND(ISNUMBER(K79),ISNUMBER(L79)),IF(AND(K79&gt;=Ringkasan!$B$10,L79&gt;=Ringkasan!$B$11),"yes",""),"")</f>
        <v/>
      </c>
      <c r="N79" s="2" t="n"/>
      <c r="O79" s="2" t="n"/>
      <c r="Q79" s="2" t="inlineStr">
        <is>
          <t>axiom</t>
        </is>
      </c>
      <c r="S79" s="2" t="n"/>
      <c r="U79" s="2" t="n">
        <v>79</v>
      </c>
    </row>
    <row r="80">
      <c r="A80" s="2" t="inlineStr">
        <is>
          <t>5F8qXBPvyNBnoSWmA5oeDwK9SS3Hv29o36Pn8xVpBLYi</t>
        </is>
      </c>
      <c r="B80" s="2" t="inlineStr">
        <is>
          <t>genohh</t>
        </is>
      </c>
      <c r="C80" s="2">
        <f>COUNT(E80:G80)</f>
        <v/>
      </c>
      <c r="D80" s="2" t="inlineStr">
        <is>
          <t>SolanaTracker</t>
        </is>
      </c>
      <c r="E80" s="2" t="n"/>
      <c r="F80" s="2" t="n">
        <v>79</v>
      </c>
      <c r="G80" s="2" t="n"/>
      <c r="H80" s="8" t="n"/>
      <c r="I80" s="8" t="n">
        <v>2159.87</v>
      </c>
      <c r="J80" s="8" t="n"/>
      <c r="K80" s="8">
        <f>IF(COUNT(H80:J80)&gt;=2,MAX(H80:J80)-MIN(H80:J80),"")</f>
        <v/>
      </c>
      <c r="L80" s="9">
        <f>IF(ISNUMBER(K80),IF(MAX(ABS(MAX(H80:J80)),ABS(MIN(H80:J80)))=0,"",K80/MAX(ABS(MAX(H80:J80)),ABS(MIN(H80:J80)))),"")</f>
        <v/>
      </c>
      <c r="M80" s="2">
        <f>IF(AND(ISNUMBER(K80),ISNUMBER(L80)),IF(AND(K80&gt;=Ringkasan!$B$10,L80&gt;=Ringkasan!$B$11),"yes",""),"")</f>
        <v/>
      </c>
      <c r="N80" s="2" t="n"/>
      <c r="O80" s="2" t="n"/>
      <c r="Q80" s="2" t="inlineStr">
        <is>
          <t>pumpfun-app</t>
        </is>
      </c>
      <c r="S80" s="2" t="n"/>
      <c r="U80" s="2" t="n">
        <v>80</v>
      </c>
    </row>
    <row r="81">
      <c r="A81" s="2" t="inlineStr">
        <is>
          <t>76Ycxumc9GKavhJYqNVCCM6ZCFrBySCKrcW2hmpVHMq4</t>
        </is>
      </c>
      <c r="B81" s="2" t="n"/>
      <c r="C81" s="2">
        <f>COUNT(E81:G81)</f>
        <v/>
      </c>
      <c r="D81" s="2" t="inlineStr">
        <is>
          <t>SolanaTracker</t>
        </is>
      </c>
      <c r="E81" s="2" t="n"/>
      <c r="F81" s="2" t="n">
        <v>80</v>
      </c>
      <c r="G81" s="2" t="n"/>
      <c r="H81" s="8" t="n"/>
      <c r="I81" s="8" t="n">
        <v>2153.16</v>
      </c>
      <c r="J81" s="8" t="n"/>
      <c r="K81" s="8">
        <f>IF(COUNT(H81:J81)&gt;=2,MAX(H81:J81)-MIN(H81:J81),"")</f>
        <v/>
      </c>
      <c r="L81" s="9">
        <f>IF(ISNUMBER(K81),IF(MAX(ABS(MAX(H81:J81)),ABS(MIN(H81:J81)))=0,"",K81/MAX(ABS(MAX(H81:J81)),ABS(MIN(H81:J81)))),"")</f>
        <v/>
      </c>
      <c r="M81" s="2">
        <f>IF(AND(ISNUMBER(K81),ISNUMBER(L81)),IF(AND(K81&gt;=Ringkasan!$B$10,L81&gt;=Ringkasan!$B$11),"yes",""),"")</f>
        <v/>
      </c>
      <c r="N81" s="2" t="n"/>
      <c r="O81" s="2" t="n"/>
      <c r="Q81" s="2" t="inlineStr">
        <is>
          <t>axiom</t>
        </is>
      </c>
      <c r="S81" s="2" t="n"/>
      <c r="U81" s="2" t="n">
        <v>81</v>
      </c>
    </row>
    <row r="82">
      <c r="A82" s="2" t="inlineStr">
        <is>
          <t>6Tfx4PUcRM6in5SssSgWeSZMbjR1RJsLsqzA4u1V36ky</t>
        </is>
      </c>
      <c r="B82" s="2" t="inlineStr">
        <is>
          <t>lalalupsiy</t>
        </is>
      </c>
      <c r="C82" s="2">
        <f>COUNT(E82:G82)</f>
        <v/>
      </c>
      <c r="D82" s="2" t="inlineStr">
        <is>
          <t>SolanaTracker</t>
        </is>
      </c>
      <c r="E82" s="2" t="n"/>
      <c r="F82" s="2" t="n">
        <v>81</v>
      </c>
      <c r="G82" s="2" t="n"/>
      <c r="H82" s="8" t="n"/>
      <c r="I82" s="8" t="n">
        <v>2138.94</v>
      </c>
      <c r="J82" s="8" t="n"/>
      <c r="K82" s="8">
        <f>IF(COUNT(H82:J82)&gt;=2,MAX(H82:J82)-MIN(H82:J82),"")</f>
        <v/>
      </c>
      <c r="L82" s="9">
        <f>IF(ISNUMBER(K82),IF(MAX(ABS(MAX(H82:J82)),ABS(MIN(H82:J82)))=0,"",K82/MAX(ABS(MAX(H82:J82)),ABS(MIN(H82:J82)))),"")</f>
        <v/>
      </c>
      <c r="M82" s="2">
        <f>IF(AND(ISNUMBER(K82),ISNUMBER(L82)),IF(AND(K82&gt;=Ringkasan!$B$10,L82&gt;=Ringkasan!$B$11),"yes",""),"")</f>
        <v/>
      </c>
      <c r="N82" s="2" t="n"/>
      <c r="O82" s="2" t="n"/>
      <c r="Q82" s="2" t="inlineStr">
        <is>
          <t>gmgn; terminal; pumpfun-app</t>
        </is>
      </c>
      <c r="S82" s="2" t="n"/>
      <c r="U82" s="2" t="n">
        <v>82</v>
      </c>
    </row>
    <row r="83">
      <c r="A83" s="2" t="inlineStr">
        <is>
          <t>8codemQrXGymCvPGLuNR6HXRSMfwnkiJsnpAxwACKu8E</t>
        </is>
      </c>
      <c r="B83" s="2" t="n"/>
      <c r="C83" s="2">
        <f>COUNT(E83:G83)</f>
        <v/>
      </c>
      <c r="D83" s="2" t="inlineStr">
        <is>
          <t>SolanaTracker</t>
        </is>
      </c>
      <c r="E83" s="2" t="n"/>
      <c r="F83" s="2" t="n">
        <v>82</v>
      </c>
      <c r="G83" s="2" t="n"/>
      <c r="H83" s="8" t="n"/>
      <c r="I83" s="8" t="n">
        <v>2093.65</v>
      </c>
      <c r="J83" s="8" t="n"/>
      <c r="K83" s="8">
        <f>IF(COUNT(H83:J83)&gt;=2,MAX(H83:J83)-MIN(H83:J83),"")</f>
        <v/>
      </c>
      <c r="L83" s="9">
        <f>IF(ISNUMBER(K83),IF(MAX(ABS(MAX(H83:J83)),ABS(MIN(H83:J83)))=0,"",K83/MAX(ABS(MAX(H83:J83)),ABS(MIN(H83:J83)))),"")</f>
        <v/>
      </c>
      <c r="M83" s="2">
        <f>IF(AND(ISNUMBER(K83),ISNUMBER(L83)),IF(AND(K83&gt;=Ringkasan!$B$10,L83&gt;=Ringkasan!$B$11),"yes",""),"")</f>
        <v/>
      </c>
      <c r="N83" s="2" t="n"/>
      <c r="O83" s="2" t="n"/>
      <c r="Q83" s="2" t="inlineStr">
        <is>
          <t>axiom</t>
        </is>
      </c>
      <c r="S83" s="2" t="n"/>
      <c r="U83" s="2" t="n">
        <v>83</v>
      </c>
    </row>
    <row r="84">
      <c r="A84" s="2" t="inlineStr">
        <is>
          <t>92DP5Xi5k5PqBGu3qqFAYvqTEG5cuVdBG58iwUGCtNN6</t>
        </is>
      </c>
      <c r="B84" s="2" t="n"/>
      <c r="C84" s="2">
        <f>COUNT(E84:G84)</f>
        <v/>
      </c>
      <c r="D84" s="2" t="inlineStr">
        <is>
          <t>SolanaTracker</t>
        </is>
      </c>
      <c r="E84" s="2" t="n"/>
      <c r="F84" s="2" t="n">
        <v>83</v>
      </c>
      <c r="G84" s="2" t="n"/>
      <c r="H84" s="8" t="n"/>
      <c r="I84" s="8" t="n">
        <v>2089.82</v>
      </c>
      <c r="J84" s="8" t="n"/>
      <c r="K84" s="8">
        <f>IF(COUNT(H84:J84)&gt;=2,MAX(H84:J84)-MIN(H84:J84),"")</f>
        <v/>
      </c>
      <c r="L84" s="9">
        <f>IF(ISNUMBER(K84),IF(MAX(ABS(MAX(H84:J84)),ABS(MIN(H84:J84)))=0,"",K84/MAX(ABS(MAX(H84:J84)),ABS(MIN(H84:J84)))),"")</f>
        <v/>
      </c>
      <c r="M84" s="2">
        <f>IF(AND(ISNUMBER(K84),ISNUMBER(L84)),IF(AND(K84&gt;=Ringkasan!$B$10,L84&gt;=Ringkasan!$B$11),"yes",""),"")</f>
        <v/>
      </c>
      <c r="N84" s="2" t="n"/>
      <c r="O84" s="2" t="n"/>
      <c r="Q84" s="2" t="inlineStr">
        <is>
          <t>gmgn</t>
        </is>
      </c>
      <c r="S84" s="2" t="n"/>
      <c r="U84" s="2" t="n">
        <v>84</v>
      </c>
    </row>
    <row r="85">
      <c r="A85" s="2" t="inlineStr">
        <is>
          <t>6Fkqdevn3FPpMQPB8TrwAuawJxUuTsrzmFk2okaq9Cni</t>
        </is>
      </c>
      <c r="B85" s="2" t="n"/>
      <c r="C85" s="2">
        <f>COUNT(E85:G85)</f>
        <v/>
      </c>
      <c r="D85" s="2" t="inlineStr">
        <is>
          <t>SolanaTracker</t>
        </is>
      </c>
      <c r="E85" s="2" t="n"/>
      <c r="F85" s="2" t="n">
        <v>84</v>
      </c>
      <c r="G85" s="2" t="n"/>
      <c r="H85" s="8" t="n"/>
      <c r="I85" s="8" t="n">
        <v>2083.52</v>
      </c>
      <c r="J85" s="8" t="n"/>
      <c r="K85" s="8">
        <f>IF(COUNT(H85:J85)&gt;=2,MAX(H85:J85)-MIN(H85:J85),"")</f>
        <v/>
      </c>
      <c r="L85" s="9">
        <f>IF(ISNUMBER(K85),IF(MAX(ABS(MAX(H85:J85)),ABS(MIN(H85:J85)))=0,"",K85/MAX(ABS(MAX(H85:J85)),ABS(MIN(H85:J85)))),"")</f>
        <v/>
      </c>
      <c r="M85" s="2">
        <f>IF(AND(ISNUMBER(K85),ISNUMBER(L85)),IF(AND(K85&gt;=Ringkasan!$B$10,L85&gt;=Ringkasan!$B$11),"yes",""),"")</f>
        <v/>
      </c>
      <c r="N85" s="2" t="n"/>
      <c r="O85" s="2" t="n"/>
      <c r="Q85" s="2" t="inlineStr">
        <is>
          <t>axiom</t>
        </is>
      </c>
      <c r="S85" s="2" t="n"/>
      <c r="U85" s="2" t="n">
        <v>85</v>
      </c>
    </row>
    <row r="86">
      <c r="A86" s="2" t="inlineStr">
        <is>
          <t>97K6nsFhBWDKwQf6heDDhDtsCRC4779LPHSFZkc2zqK4</t>
        </is>
      </c>
      <c r="B86" s="2" t="inlineStr">
        <is>
          <t>NikolaiX</t>
        </is>
      </c>
      <c r="C86" s="2">
        <f>COUNT(E86:G86)</f>
        <v/>
      </c>
      <c r="D86" s="2" t="inlineStr">
        <is>
          <t>SolanaTracker</t>
        </is>
      </c>
      <c r="E86" s="2" t="n"/>
      <c r="F86" s="2" t="n">
        <v>85</v>
      </c>
      <c r="G86" s="2" t="n"/>
      <c r="H86" s="8" t="n"/>
      <c r="I86" s="8" t="n">
        <v>2071.13</v>
      </c>
      <c r="J86" s="8" t="n"/>
      <c r="K86" s="8">
        <f>IF(COUNT(H86:J86)&gt;=2,MAX(H86:J86)-MIN(H86:J86),"")</f>
        <v/>
      </c>
      <c r="L86" s="9">
        <f>IF(ISNUMBER(K86),IF(MAX(ABS(MAX(H86:J86)),ABS(MIN(H86:J86)))=0,"",K86/MAX(ABS(MAX(H86:J86)),ABS(MIN(H86:J86)))),"")</f>
        <v/>
      </c>
      <c r="M86" s="2">
        <f>IF(AND(ISNUMBER(K86),ISNUMBER(L86)),IF(AND(K86&gt;=Ringkasan!$B$10,L86&gt;=Ringkasan!$B$11),"yes",""),"")</f>
        <v/>
      </c>
      <c r="N86" s="2" t="n"/>
      <c r="O86" s="2" t="n"/>
      <c r="Q86" s="2" t="inlineStr">
        <is>
          <t>potential_bot; gmgn; pumpfun-app</t>
        </is>
      </c>
      <c r="S86" s="2" t="n"/>
      <c r="U86" s="2" t="n">
        <v>86</v>
      </c>
    </row>
    <row r="87">
      <c r="A87" s="2" t="inlineStr">
        <is>
          <t>F8nSATqw9BUhMVTEs5g8QF7zjGDaPA15UMnDr5KpXjNG</t>
        </is>
      </c>
      <c r="B87" s="2" t="n"/>
      <c r="C87" s="2">
        <f>COUNT(E87:G87)</f>
        <v/>
      </c>
      <c r="D87" s="2" t="inlineStr">
        <is>
          <t>SolanaTracker</t>
        </is>
      </c>
      <c r="E87" s="2" t="n"/>
      <c r="F87" s="2" t="n">
        <v>86</v>
      </c>
      <c r="G87" s="2" t="n"/>
      <c r="H87" s="8" t="n"/>
      <c r="I87" s="8" t="n">
        <v>2070.02</v>
      </c>
      <c r="J87" s="8" t="n"/>
      <c r="K87" s="8">
        <f>IF(COUNT(H87:J87)&gt;=2,MAX(H87:J87)-MIN(H87:J87),"")</f>
        <v/>
      </c>
      <c r="L87" s="9">
        <f>IF(ISNUMBER(K87),IF(MAX(ABS(MAX(H87:J87)),ABS(MIN(H87:J87)))=0,"",K87/MAX(ABS(MAX(H87:J87)),ABS(MIN(H87:J87)))),"")</f>
        <v/>
      </c>
      <c r="M87" s="2">
        <f>IF(AND(ISNUMBER(K87),ISNUMBER(L87)),IF(AND(K87&gt;=Ringkasan!$B$10,L87&gt;=Ringkasan!$B$11),"yes",""),"")</f>
        <v/>
      </c>
      <c r="N87" s="2" t="n"/>
      <c r="O87" s="2" t="n"/>
      <c r="Q87" s="2" t="inlineStr">
        <is>
          <t>axiom</t>
        </is>
      </c>
      <c r="S87" s="2" t="n"/>
      <c r="U87" s="2" t="n">
        <v>87</v>
      </c>
    </row>
    <row r="88">
      <c r="A88" s="2" t="inlineStr">
        <is>
          <t>2EwnACc1Dh5M8bPyzrVdfqfza4PbiqvKV3fSvL9wFs28</t>
        </is>
      </c>
      <c r="B88" s="2" t="inlineStr">
        <is>
          <t>fоmο</t>
        </is>
      </c>
      <c r="C88" s="2">
        <f>COUNT(E88:G88)</f>
        <v/>
      </c>
      <c r="D88" s="2" t="inlineStr">
        <is>
          <t>SolanaTracker</t>
        </is>
      </c>
      <c r="E88" s="2" t="n"/>
      <c r="F88" s="2" t="n">
        <v>87</v>
      </c>
      <c r="G88" s="2" t="n"/>
      <c r="H88" s="8" t="n"/>
      <c r="I88" s="8" t="n">
        <v>2049.82</v>
      </c>
      <c r="J88" s="8" t="n"/>
      <c r="K88" s="8">
        <f>IF(COUNT(H88:J88)&gt;=2,MAX(H88:J88)-MIN(H88:J88),"")</f>
        <v/>
      </c>
      <c r="L88" s="9">
        <f>IF(ISNUMBER(K88),IF(MAX(ABS(MAX(H88:J88)),ABS(MIN(H88:J88)))=0,"",K88/MAX(ABS(MAX(H88:J88)),ABS(MIN(H88:J88)))),"")</f>
        <v/>
      </c>
      <c r="M88" s="2">
        <f>IF(AND(ISNUMBER(K88),ISNUMBER(L88)),IF(AND(K88&gt;=Ringkasan!$B$10,L88&gt;=Ringkasan!$B$11),"yes",""),"")</f>
        <v/>
      </c>
      <c r="N88" s="2" t="n"/>
      <c r="O88" s="2" t="n"/>
      <c r="Q88" s="2" t="inlineStr">
        <is>
          <t>potential_bot; fomo</t>
        </is>
      </c>
      <c r="S88" s="2" t="n"/>
      <c r="U88" s="2" t="n">
        <v>88</v>
      </c>
    </row>
    <row r="89">
      <c r="A89" s="2" t="inlineStr">
        <is>
          <t>6zrPw7fiBuqEs5xJVx3divSzAHPtLS75p9cJV4niHoDL</t>
        </is>
      </c>
      <c r="B89" s="2" t="n"/>
      <c r="C89" s="2">
        <f>COUNT(E89:G89)</f>
        <v/>
      </c>
      <c r="D89" s="2" t="inlineStr">
        <is>
          <t>SolanaTracker</t>
        </is>
      </c>
      <c r="E89" s="2" t="n"/>
      <c r="F89" s="2" t="n">
        <v>88</v>
      </c>
      <c r="G89" s="2" t="n"/>
      <c r="H89" s="8" t="n"/>
      <c r="I89" s="8" t="n">
        <v>2038.03</v>
      </c>
      <c r="J89" s="8" t="n"/>
      <c r="K89" s="8">
        <f>IF(COUNT(H89:J89)&gt;=2,MAX(H89:J89)-MIN(H89:J89),"")</f>
        <v/>
      </c>
      <c r="L89" s="9">
        <f>IF(ISNUMBER(K89),IF(MAX(ABS(MAX(H89:J89)),ABS(MIN(H89:J89)))=0,"",K89/MAX(ABS(MAX(H89:J89)),ABS(MIN(H89:J89)))),"")</f>
        <v/>
      </c>
      <c r="M89" s="2">
        <f>IF(AND(ISNUMBER(K89),ISNUMBER(L89)),IF(AND(K89&gt;=Ringkasan!$B$10,L89&gt;=Ringkasan!$B$11),"yes",""),"")</f>
        <v/>
      </c>
      <c r="N89" s="2" t="n"/>
      <c r="O89" s="2" t="n"/>
      <c r="Q89" s="2" t="inlineStr">
        <is>
          <t>potential_bot</t>
        </is>
      </c>
      <c r="S89" s="2" t="n"/>
      <c r="U89" s="2" t="n">
        <v>89</v>
      </c>
    </row>
    <row r="90">
      <c r="A90" s="2" t="inlineStr">
        <is>
          <t>kEFiAX3jo5NmemysQov342TZ9mGh6yp92GDRjhA8XDf</t>
        </is>
      </c>
      <c r="B90" s="2" t="n"/>
      <c r="C90" s="2">
        <f>COUNT(E90:G90)</f>
        <v/>
      </c>
      <c r="D90" s="2" t="inlineStr">
        <is>
          <t>SolanaTracker</t>
        </is>
      </c>
      <c r="E90" s="2" t="n"/>
      <c r="F90" s="2" t="n">
        <v>89</v>
      </c>
      <c r="G90" s="2" t="n"/>
      <c r="H90" s="8" t="n"/>
      <c r="I90" s="8" t="n">
        <v>2019.09</v>
      </c>
      <c r="J90" s="8" t="n"/>
      <c r="K90" s="8">
        <f>IF(COUNT(H90:J90)&gt;=2,MAX(H90:J90)-MIN(H90:J90),"")</f>
        <v/>
      </c>
      <c r="L90" s="9">
        <f>IF(ISNUMBER(K90),IF(MAX(ABS(MAX(H90:J90)),ABS(MIN(H90:J90)))=0,"",K90/MAX(ABS(MAX(H90:J90)),ABS(MIN(H90:J90)))),"")</f>
        <v/>
      </c>
      <c r="M90" s="2">
        <f>IF(AND(ISNUMBER(K90),ISNUMBER(L90)),IF(AND(K90&gt;=Ringkasan!$B$10,L90&gt;=Ringkasan!$B$11),"yes",""),"")</f>
        <v/>
      </c>
      <c r="N90" s="2" t="n"/>
      <c r="O90" s="2" t="n"/>
      <c r="Q90" s="2" t="n"/>
      <c r="S90" s="2" t="n"/>
      <c r="U90" s="2" t="n">
        <v>90</v>
      </c>
    </row>
    <row r="91">
      <c r="A91" s="2" t="inlineStr">
        <is>
          <t>EoHsfeh72zKoe3vzUPy8reJKaw7QEKRzw77hopV5yxQm</t>
        </is>
      </c>
      <c r="B91" s="2" t="inlineStr">
        <is>
          <t>heroicshark6283</t>
        </is>
      </c>
      <c r="C91" s="2">
        <f>COUNT(E91:G91)</f>
        <v/>
      </c>
      <c r="D91" s="2" t="inlineStr">
        <is>
          <t>SolanaTracker</t>
        </is>
      </c>
      <c r="E91" s="2" t="n"/>
      <c r="F91" s="2" t="n">
        <v>90</v>
      </c>
      <c r="G91" s="2" t="n"/>
      <c r="H91" s="8" t="n"/>
      <c r="I91" s="8" t="n">
        <v>2017.54</v>
      </c>
      <c r="J91" s="8" t="n"/>
      <c r="K91" s="8">
        <f>IF(COUNT(H91:J91)&gt;=2,MAX(H91:J91)-MIN(H91:J91),"")</f>
        <v/>
      </c>
      <c r="L91" s="9">
        <f>IF(ISNUMBER(K91),IF(MAX(ABS(MAX(H91:J91)),ABS(MIN(H91:J91)))=0,"",K91/MAX(ABS(MAX(H91:J91)),ABS(MIN(H91:J91)))),"")</f>
        <v/>
      </c>
      <c r="M91" s="2">
        <f>IF(AND(ISNUMBER(K91),ISNUMBER(L91)),IF(AND(K91&gt;=Ringkasan!$B$10,L91&gt;=Ringkasan!$B$11),"yes",""),"")</f>
        <v/>
      </c>
      <c r="N91" s="2" t="n"/>
      <c r="O91" s="2" t="n"/>
      <c r="Q91" s="2" t="inlineStr">
        <is>
          <t>pumpfun-app</t>
        </is>
      </c>
      <c r="S91" s="2" t="n"/>
      <c r="U91" s="2" t="n">
        <v>91</v>
      </c>
    </row>
    <row r="92">
      <c r="A92" s="2" t="inlineStr">
        <is>
          <t>7DrCZkVEqy6a2cJMmYoZANWL6GMBmJ99KwpTimWnhpgC</t>
        </is>
      </c>
      <c r="B92" s="2" t="inlineStr">
        <is>
          <t>relax</t>
        </is>
      </c>
      <c r="C92" s="2">
        <f>COUNT(E92:G92)</f>
        <v/>
      </c>
      <c r="D92" s="2" t="inlineStr">
        <is>
          <t>SolanaTracker</t>
        </is>
      </c>
      <c r="E92" s="2" t="n"/>
      <c r="F92" s="2" t="n">
        <v>91</v>
      </c>
      <c r="G92" s="2" t="n"/>
      <c r="H92" s="8" t="n"/>
      <c r="I92" s="8" t="n">
        <v>2004.95</v>
      </c>
      <c r="J92" s="8" t="n"/>
      <c r="K92" s="8">
        <f>IF(COUNT(H92:J92)&gt;=2,MAX(H92:J92)-MIN(H92:J92),"")</f>
        <v/>
      </c>
      <c r="L92" s="9">
        <f>IF(ISNUMBER(K92),IF(MAX(ABS(MAX(H92:J92)),ABS(MIN(H92:J92)))=0,"",K92/MAX(ABS(MAX(H92:J92)),ABS(MIN(H92:J92)))),"")</f>
        <v/>
      </c>
      <c r="M92" s="2">
        <f>IF(AND(ISNUMBER(K92),ISNUMBER(L92)),IF(AND(K92&gt;=Ringkasan!$B$10,L92&gt;=Ringkasan!$B$11),"yes",""),"")</f>
        <v/>
      </c>
      <c r="N92" s="2" t="n"/>
      <c r="O92" s="2" t="n"/>
      <c r="Q92" s="2" t="inlineStr">
        <is>
          <t>fomo</t>
        </is>
      </c>
      <c r="S92" s="2" t="n"/>
      <c r="U92" s="2" t="n">
        <v>92</v>
      </c>
    </row>
    <row r="93">
      <c r="A93" s="2" t="inlineStr">
        <is>
          <t>A2WnaaU5MjZpqGk7z4rwUD4di6BVinvx5JR2k7tjeiwg</t>
        </is>
      </c>
      <c r="B93" s="2" t="n"/>
      <c r="C93" s="2">
        <f>COUNT(E93:G93)</f>
        <v/>
      </c>
      <c r="D93" s="2" t="inlineStr">
        <is>
          <t>SolanaTracker</t>
        </is>
      </c>
      <c r="E93" s="2" t="n"/>
      <c r="F93" s="2" t="n">
        <v>92</v>
      </c>
      <c r="G93" s="2" t="n"/>
      <c r="H93" s="8" t="n"/>
      <c r="I93" s="8" t="n">
        <v>2000.42</v>
      </c>
      <c r="J93" s="8" t="n"/>
      <c r="K93" s="8">
        <f>IF(COUNT(H93:J93)&gt;=2,MAX(H93:J93)-MIN(H93:J93),"")</f>
        <v/>
      </c>
      <c r="L93" s="9">
        <f>IF(ISNUMBER(K93),IF(MAX(ABS(MAX(H93:J93)),ABS(MIN(H93:J93)))=0,"",K93/MAX(ABS(MAX(H93:J93)),ABS(MIN(H93:J93)))),"")</f>
        <v/>
      </c>
      <c r="M93" s="2">
        <f>IF(AND(ISNUMBER(K93),ISNUMBER(L93)),IF(AND(K93&gt;=Ringkasan!$B$10,L93&gt;=Ringkasan!$B$11),"yes",""),"")</f>
        <v/>
      </c>
      <c r="N93" s="2" t="n"/>
      <c r="O93" s="2" t="n"/>
      <c r="Q93" s="2" t="n"/>
      <c r="S93" s="2" t="n"/>
      <c r="U93" s="2" t="n">
        <v>93</v>
      </c>
    </row>
    <row r="94">
      <c r="A94" s="2" t="inlineStr">
        <is>
          <t>FovSpZ93mKiTs6Ak4JFBkdCMdc1ATALDd6rP6BYtMTMc</t>
        </is>
      </c>
      <c r="B94" s="2" t="n"/>
      <c r="C94" s="2">
        <f>COUNT(E94:G94)</f>
        <v/>
      </c>
      <c r="D94" s="2" t="inlineStr">
        <is>
          <t>SolanaTracker</t>
        </is>
      </c>
      <c r="E94" s="2" t="n"/>
      <c r="F94" s="2" t="n">
        <v>93</v>
      </c>
      <c r="G94" s="2" t="n"/>
      <c r="H94" s="8" t="n"/>
      <c r="I94" s="8" t="n">
        <v>1978.96</v>
      </c>
      <c r="J94" s="8" t="n"/>
      <c r="K94" s="8">
        <f>IF(COUNT(H94:J94)&gt;=2,MAX(H94:J94)-MIN(H94:J94),"")</f>
        <v/>
      </c>
      <c r="L94" s="9">
        <f>IF(ISNUMBER(K94),IF(MAX(ABS(MAX(H94:J94)),ABS(MIN(H94:J94)))=0,"",K94/MAX(ABS(MAX(H94:J94)),ABS(MIN(H94:J94)))),"")</f>
        <v/>
      </c>
      <c r="M94" s="2">
        <f>IF(AND(ISNUMBER(K94),ISNUMBER(L94)),IF(AND(K94&gt;=Ringkasan!$B$10,L94&gt;=Ringkasan!$B$11),"yes",""),"")</f>
        <v/>
      </c>
      <c r="N94" s="2" t="n"/>
      <c r="O94" s="2" t="n"/>
      <c r="Q94" s="2" t="inlineStr">
        <is>
          <t>axiom</t>
        </is>
      </c>
      <c r="S94" s="2" t="n"/>
      <c r="U94" s="2" t="n">
        <v>94</v>
      </c>
    </row>
    <row r="95">
      <c r="A95" s="2" t="inlineStr">
        <is>
          <t>FGTxbX6fW9T8uGHZ5GaR3W8z1N9u7ijYWb8NpG933EQa</t>
        </is>
      </c>
      <c r="B95" s="2" t="n"/>
      <c r="C95" s="2">
        <f>COUNT(E95:G95)</f>
        <v/>
      </c>
      <c r="D95" s="2" t="inlineStr">
        <is>
          <t>SolanaTracker</t>
        </is>
      </c>
      <c r="E95" s="2" t="n"/>
      <c r="F95" s="2" t="n">
        <v>94</v>
      </c>
      <c r="G95" s="2" t="n"/>
      <c r="H95" s="8" t="n"/>
      <c r="I95" s="8" t="n">
        <v>1974.51</v>
      </c>
      <c r="J95" s="8" t="n"/>
      <c r="K95" s="8">
        <f>IF(COUNT(H95:J95)&gt;=2,MAX(H95:J95)-MIN(H95:J95),"")</f>
        <v/>
      </c>
      <c r="L95" s="9">
        <f>IF(ISNUMBER(K95),IF(MAX(ABS(MAX(H95:J95)),ABS(MIN(H95:J95)))=0,"",K95/MAX(ABS(MAX(H95:J95)),ABS(MIN(H95:J95)))),"")</f>
        <v/>
      </c>
      <c r="M95" s="2">
        <f>IF(AND(ISNUMBER(K95),ISNUMBER(L95)),IF(AND(K95&gt;=Ringkasan!$B$10,L95&gt;=Ringkasan!$B$11),"yes",""),"")</f>
        <v/>
      </c>
      <c r="N95" s="2" t="n"/>
      <c r="O95" s="2" t="n"/>
      <c r="Q95" s="2" t="inlineStr">
        <is>
          <t>axiom</t>
        </is>
      </c>
      <c r="S95" s="2" t="n"/>
      <c r="U95" s="2" t="n">
        <v>95</v>
      </c>
    </row>
    <row r="96">
      <c r="A96" s="2" t="inlineStr">
        <is>
          <t>7DZXLxzshW8HnKeE5b8EDi4MKEJzBvS3z2rJnMWNJeQX</t>
        </is>
      </c>
      <c r="B96" s="2" t="n"/>
      <c r="C96" s="2">
        <f>COUNT(E96:G96)</f>
        <v/>
      </c>
      <c r="D96" s="2" t="inlineStr">
        <is>
          <t>SolanaTracker</t>
        </is>
      </c>
      <c r="E96" s="2" t="n"/>
      <c r="F96" s="2" t="n">
        <v>95</v>
      </c>
      <c r="G96" s="2" t="n"/>
      <c r="H96" s="8" t="n"/>
      <c r="I96" s="8" t="n">
        <v>1964.1</v>
      </c>
      <c r="J96" s="8" t="n"/>
      <c r="K96" s="8">
        <f>IF(COUNT(H96:J96)&gt;=2,MAX(H96:J96)-MIN(H96:J96),"")</f>
        <v/>
      </c>
      <c r="L96" s="9">
        <f>IF(ISNUMBER(K96),IF(MAX(ABS(MAX(H96:J96)),ABS(MIN(H96:J96)))=0,"",K96/MAX(ABS(MAX(H96:J96)),ABS(MIN(H96:J96)))),"")</f>
        <v/>
      </c>
      <c r="M96" s="2">
        <f>IF(AND(ISNUMBER(K96),ISNUMBER(L96)),IF(AND(K96&gt;=Ringkasan!$B$10,L96&gt;=Ringkasan!$B$11),"yes",""),"")</f>
        <v/>
      </c>
      <c r="N96" s="2" t="n"/>
      <c r="O96" s="2" t="n"/>
      <c r="Q96" s="2" t="inlineStr">
        <is>
          <t>potential_bot; gmgn</t>
        </is>
      </c>
      <c r="S96" s="2" t="n"/>
      <c r="U96" s="2" t="n">
        <v>96</v>
      </c>
    </row>
    <row r="97">
      <c r="A97" s="2" t="inlineStr">
        <is>
          <t>5mugTxv47CQVXmgVQ6TmCL72Ydhsq8DNnGh8vzdu6pW</t>
        </is>
      </c>
      <c r="B97" s="2" t="inlineStr">
        <is>
          <t>Kdotkrisp</t>
        </is>
      </c>
      <c r="C97" s="2">
        <f>COUNT(E97:G97)</f>
        <v/>
      </c>
      <c r="D97" s="2" t="inlineStr">
        <is>
          <t>SolanaTracker</t>
        </is>
      </c>
      <c r="E97" s="2" t="n"/>
      <c r="F97" s="2" t="n">
        <v>96</v>
      </c>
      <c r="G97" s="2" t="n"/>
      <c r="H97" s="8" t="n"/>
      <c r="I97" s="8" t="n">
        <v>1958.88</v>
      </c>
      <c r="J97" s="8" t="n"/>
      <c r="K97" s="8">
        <f>IF(COUNT(H97:J97)&gt;=2,MAX(H97:J97)-MIN(H97:J97),"")</f>
        <v/>
      </c>
      <c r="L97" s="9">
        <f>IF(ISNUMBER(K97),IF(MAX(ABS(MAX(H97:J97)),ABS(MIN(H97:J97)))=0,"",K97/MAX(ABS(MAX(H97:J97)),ABS(MIN(H97:J97)))),"")</f>
        <v/>
      </c>
      <c r="M97" s="2">
        <f>IF(AND(ISNUMBER(K97),ISNUMBER(L97)),IF(AND(K97&gt;=Ringkasan!$B$10,L97&gt;=Ringkasan!$B$11),"yes",""),"")</f>
        <v/>
      </c>
      <c r="N97" s="2" t="n"/>
      <c r="O97" s="2" t="n"/>
      <c r="Q97" s="2" t="inlineStr">
        <is>
          <t>fomo</t>
        </is>
      </c>
      <c r="S97" s="2" t="n"/>
      <c r="U97" s="2" t="n">
        <v>97</v>
      </c>
    </row>
    <row r="98">
      <c r="A98" s="2" t="inlineStr">
        <is>
          <t>HeaPzXgCqcqwooBUEksNBBMJPM76qPZj2GPRn4Up4E21</t>
        </is>
      </c>
      <c r="B98" s="2" t="n"/>
      <c r="C98" s="2">
        <f>COUNT(E98:G98)</f>
        <v/>
      </c>
      <c r="D98" s="2" t="inlineStr">
        <is>
          <t>SolanaTracker</t>
        </is>
      </c>
      <c r="E98" s="2" t="n"/>
      <c r="F98" s="2" t="n">
        <v>97</v>
      </c>
      <c r="G98" s="2" t="n"/>
      <c r="H98" s="8" t="n"/>
      <c r="I98" s="8" t="n">
        <v>1929.34</v>
      </c>
      <c r="J98" s="8" t="n"/>
      <c r="K98" s="8">
        <f>IF(COUNT(H98:J98)&gt;=2,MAX(H98:J98)-MIN(H98:J98),"")</f>
        <v/>
      </c>
      <c r="L98" s="9">
        <f>IF(ISNUMBER(K98),IF(MAX(ABS(MAX(H98:J98)),ABS(MIN(H98:J98)))=0,"",K98/MAX(ABS(MAX(H98:J98)),ABS(MIN(H98:J98)))),"")</f>
        <v/>
      </c>
      <c r="M98" s="2">
        <f>IF(AND(ISNUMBER(K98),ISNUMBER(L98)),IF(AND(K98&gt;=Ringkasan!$B$10,L98&gt;=Ringkasan!$B$11),"yes",""),"")</f>
        <v/>
      </c>
      <c r="N98" s="2" t="n"/>
      <c r="O98" s="2" t="n"/>
      <c r="Q98" s="2" t="inlineStr">
        <is>
          <t>potential_bot</t>
        </is>
      </c>
      <c r="S98" s="2" t="n"/>
      <c r="U98" s="2" t="n">
        <v>98</v>
      </c>
    </row>
    <row r="99">
      <c r="A99" s="2" t="inlineStr">
        <is>
          <t>5aLY85pyxiuX3fd4RgM3Yc1e3MAL6b7UgaZz6MS3JUfG</t>
        </is>
      </c>
      <c r="B99" s="2" t="n"/>
      <c r="C99" s="2">
        <f>COUNT(E99:G99)</f>
        <v/>
      </c>
      <c r="D99" s="2" t="inlineStr">
        <is>
          <t>SolanaTracker</t>
        </is>
      </c>
      <c r="E99" s="2" t="n"/>
      <c r="F99" s="2" t="n">
        <v>98</v>
      </c>
      <c r="G99" s="2" t="n"/>
      <c r="H99" s="8" t="n"/>
      <c r="I99" s="8" t="n">
        <v>1923.89</v>
      </c>
      <c r="J99" s="8" t="n"/>
      <c r="K99" s="8">
        <f>IF(COUNT(H99:J99)&gt;=2,MAX(H99:J99)-MIN(H99:J99),"")</f>
        <v/>
      </c>
      <c r="L99" s="9">
        <f>IF(ISNUMBER(K99),IF(MAX(ABS(MAX(H99:J99)),ABS(MIN(H99:J99)))=0,"",K99/MAX(ABS(MAX(H99:J99)),ABS(MIN(H99:J99)))),"")</f>
        <v/>
      </c>
      <c r="M99" s="2">
        <f>IF(AND(ISNUMBER(K99),ISNUMBER(L99)),IF(AND(K99&gt;=Ringkasan!$B$10,L99&gt;=Ringkasan!$B$11),"yes",""),"")</f>
        <v/>
      </c>
      <c r="N99" s="2" t="n"/>
      <c r="O99" s="2" t="n"/>
      <c r="Q99" s="2" t="n"/>
      <c r="S99" s="2" t="n"/>
      <c r="U99" s="2" t="n">
        <v>99</v>
      </c>
    </row>
    <row r="100">
      <c r="A100" s="2" t="inlineStr">
        <is>
          <t>7ydmEh9fxiAy6NzbGmdWSaujAwsti51kEXULGtrszHCa</t>
        </is>
      </c>
      <c r="B100" s="2" t="inlineStr">
        <is>
          <t>Cody Stoltzfus</t>
        </is>
      </c>
      <c r="C100" s="2">
        <f>COUNT(E100:G100)</f>
        <v/>
      </c>
      <c r="D100" s="2" t="inlineStr">
        <is>
          <t>SolanaTracker</t>
        </is>
      </c>
      <c r="E100" s="2" t="n"/>
      <c r="F100" s="2" t="n">
        <v>99</v>
      </c>
      <c r="G100" s="2" t="n"/>
      <c r="H100" s="8" t="n"/>
      <c r="I100" s="8" t="n">
        <v>1890.5</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n"/>
      <c r="O100" s="2" t="n"/>
      <c r="Q100" s="2" t="inlineStr">
        <is>
          <t>fomo</t>
        </is>
      </c>
      <c r="S100" s="2" t="n"/>
      <c r="U100" s="2" t="n">
        <v>100</v>
      </c>
    </row>
    <row r="101">
      <c r="A101" s="2" t="inlineStr">
        <is>
          <t>CvajrN8QcZ3WxvFMP6fHv5jCWeuFcpapHcqBVPearVAu</t>
        </is>
      </c>
      <c r="B101" s="2" t="n"/>
      <c r="C101" s="2">
        <f>COUNT(E101:G101)</f>
        <v/>
      </c>
      <c r="D101" s="2" t="inlineStr">
        <is>
          <t>SolanaTracker</t>
        </is>
      </c>
      <c r="E101" s="2" t="n"/>
      <c r="F101" s="2" t="n">
        <v>100</v>
      </c>
      <c r="G101" s="2" t="n"/>
      <c r="H101" s="8" t="n"/>
      <c r="I101" s="8" t="n">
        <v>1885.45</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n"/>
      <c r="O101" s="2" t="n"/>
      <c r="Q101" s="2" t="inlineStr">
        <is>
          <t>terminal; axiom</t>
        </is>
      </c>
      <c r="S101" s="2" t="n"/>
      <c r="U101" s="2" t="n">
        <v>101</v>
      </c>
    </row>
  </sheetData>
  <autoFilter ref="A1:V101"/>
  <conditionalFormatting sqref="K2:M101">
    <cfRule type="expression" priority="1" dxfId="0">
      <formula>$M2="yes"</formula>
    </cfRule>
  </conditionalFormatting>
  <conditionalFormatting sqref="O2:O10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Vybe.</t>
        </is>
      </c>
    </row>
    <row r="2">
      <c r="A2" s="2" t="inlineStr">
        <is>
          <t>Status: gagal</t>
        </is>
      </c>
    </row>
    <row r="3">
      <c r="A3" s="2" t="inlineStr">
        <is>
          <t>Error: Vybe returned no traders for this token.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8" customWidth="1" min="3" max="3"/>
    <col width="17" customWidth="1" min="4" max="4"/>
    <col width="18" customWidth="1" min="5" max="5"/>
    <col width="20" customWidth="1" min="6" max="6"/>
    <col width="15" customWidth="1" min="7" max="7"/>
    <col width="9"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16"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3jvB7JMR7QhTqohucrQqiB6UPazbB8e2Zo6mQSKDCCGq</t>
        </is>
      </c>
      <c r="C2" s="2" t="inlineStr">
        <is>
          <t>gmgn;axiom;pumpfun-app;bloom</t>
        </is>
      </c>
      <c r="D2" s="2" t="inlineStr">
        <is>
          <t>SandySulkyFruit</t>
        </is>
      </c>
      <c r="E2" s="8" t="n">
        <v>20801.32</v>
      </c>
      <c r="F2" s="8" t="n">
        <v>0</v>
      </c>
      <c r="G2" s="8" t="n">
        <v>20801.32</v>
      </c>
      <c r="H2" s="2" t="n">
        <v>269.88</v>
      </c>
      <c r="I2" s="8" t="n">
        <v>7707.64</v>
      </c>
      <c r="J2" s="8" t="n">
        <v>28508.96</v>
      </c>
      <c r="K2" s="2" t="n">
        <v>10</v>
      </c>
      <c r="L2" s="2" t="n">
        <v>24</v>
      </c>
      <c r="M2" s="2" t="inlineStr">
        <is>
          <t>2026-09-17T19:15:49Z</t>
        </is>
      </c>
      <c r="N2" s="2" t="inlineStr">
        <is>
          <t>2026-09-26T04:36:55Z</t>
        </is>
      </c>
      <c r="O2" s="2" t="n">
        <v>724866</v>
      </c>
      <c r="P2" s="2" t="n">
        <v>0</v>
      </c>
      <c r="Q2" s="8" t="n">
        <v>0</v>
      </c>
      <c r="R2" s="8" t="n">
        <v>230839.18</v>
      </c>
      <c r="S2" s="2" t="n">
        <v>2114</v>
      </c>
      <c r="T2" s="2" t="n">
        <v>470</v>
      </c>
    </row>
    <row r="3">
      <c r="A3" s="2" t="n">
        <v>2</v>
      </c>
      <c r="B3" s="2" t="inlineStr">
        <is>
          <t>AYZryL5JYFhAJ7PtA9uvebDqcFrifcPTucvDyjbd7xzN</t>
        </is>
      </c>
      <c r="C3" s="2" t="inlineStr">
        <is>
          <t>terminal;axiom</t>
        </is>
      </c>
      <c r="E3" s="8" t="n">
        <v>18694.13</v>
      </c>
      <c r="F3" s="8" t="n">
        <v>0</v>
      </c>
      <c r="G3" s="8" t="n">
        <v>18694.13</v>
      </c>
      <c r="H3" s="2" t="n">
        <v>1707.63</v>
      </c>
      <c r="I3" s="8" t="n">
        <v>1094.74</v>
      </c>
      <c r="J3" s="8" t="n">
        <v>19788.87</v>
      </c>
      <c r="K3" s="2" t="n">
        <v>3</v>
      </c>
      <c r="L3" s="2" t="n">
        <v>44</v>
      </c>
      <c r="M3" s="2" t="inlineStr">
        <is>
          <t>2026-09-17T19:14:52Z</t>
        </is>
      </c>
      <c r="N3" s="2" t="inlineStr">
        <is>
          <t>2026-09-17T19:27:20Z</t>
        </is>
      </c>
      <c r="O3" s="2" t="n">
        <v>749</v>
      </c>
      <c r="P3" s="2" t="n">
        <v>0</v>
      </c>
      <c r="Q3" s="8" t="n">
        <v>0</v>
      </c>
      <c r="R3" s="8" t="n">
        <v>217779.29</v>
      </c>
      <c r="S3" s="2" t="n">
        <v>10981</v>
      </c>
      <c r="T3" s="2" t="n">
        <v>2679</v>
      </c>
    </row>
    <row r="4">
      <c r="A4" s="2" t="n">
        <v>3</v>
      </c>
      <c r="B4" s="2" t="inlineStr">
        <is>
          <t>4CwrH924ZreiA4rjEfWRbVa28LrzYb18EBjGhLLZwBjX</t>
        </is>
      </c>
      <c r="C4" s="2" t="inlineStr">
        <is>
          <t>potential_bot;fomo</t>
        </is>
      </c>
      <c r="D4" s="2" t="inlineStr">
        <is>
          <t>Spoily</t>
        </is>
      </c>
      <c r="E4" s="8" t="n">
        <v>18640.15</v>
      </c>
      <c r="F4" s="8" t="n">
        <v>0</v>
      </c>
      <c r="G4" s="8" t="n">
        <v>18640.15</v>
      </c>
      <c r="H4" s="2" t="n">
        <v>503.94</v>
      </c>
      <c r="I4" s="8" t="n">
        <v>3698.9</v>
      </c>
      <c r="J4" s="8" t="n">
        <v>22339.05</v>
      </c>
      <c r="K4" s="2" t="n">
        <v>8</v>
      </c>
      <c r="L4" s="2" t="n">
        <v>14</v>
      </c>
      <c r="M4" s="2" t="inlineStr">
        <is>
          <t>2026-09-17T19:14:20Z</t>
        </is>
      </c>
      <c r="N4" s="2" t="inlineStr">
        <is>
          <t>2026-09-26T04:28:57Z</t>
        </is>
      </c>
      <c r="O4" s="2" t="n">
        <v>724477</v>
      </c>
      <c r="P4" s="2" t="n">
        <v>0</v>
      </c>
      <c r="Q4" s="8" t="n">
        <v>0</v>
      </c>
      <c r="R4" s="8" t="n">
        <v>88417.99000000001</v>
      </c>
      <c r="S4" s="2" t="n">
        <v>2475</v>
      </c>
      <c r="T4" s="2" t="n">
        <v>674</v>
      </c>
    </row>
    <row r="5">
      <c r="A5" s="2" t="n">
        <v>4</v>
      </c>
      <c r="B5" s="2" t="inlineStr">
        <is>
          <t>8Hh4H35D498baNnWXdsAct6pj5LtnkNS1Xi8KtQq6huK</t>
        </is>
      </c>
      <c r="C5" s="2" t="inlineStr">
        <is>
          <t>fomo</t>
        </is>
      </c>
      <c r="D5" s="2" t="inlineStr">
        <is>
          <t>Saif</t>
        </is>
      </c>
      <c r="E5" s="8" t="n">
        <v>15226.57</v>
      </c>
      <c r="F5" s="8" t="n">
        <v>0</v>
      </c>
      <c r="G5" s="8" t="n">
        <v>15226.57</v>
      </c>
      <c r="H5" s="2" t="n">
        <v>298.56</v>
      </c>
      <c r="I5" s="8" t="n">
        <v>5100</v>
      </c>
      <c r="J5" s="8" t="n">
        <v>20326.57</v>
      </c>
      <c r="K5" s="2" t="n">
        <v>5</v>
      </c>
      <c r="L5" s="2" t="n">
        <v>14</v>
      </c>
      <c r="M5" s="2" t="inlineStr">
        <is>
          <t>2026-09-17T19:16:03Z</t>
        </is>
      </c>
      <c r="N5" s="2" t="inlineStr">
        <is>
          <t>2026-09-26T15:56:16Z</t>
        </is>
      </c>
      <c r="O5" s="2" t="n">
        <v>765614</v>
      </c>
      <c r="P5" s="2" t="n">
        <v>0</v>
      </c>
      <c r="Q5" s="8" t="n">
        <v>0</v>
      </c>
      <c r="R5" s="8" t="n">
        <v>34836.66</v>
      </c>
      <c r="S5" s="2" t="n">
        <v>1670</v>
      </c>
      <c r="T5" s="2" t="n">
        <v>480</v>
      </c>
    </row>
    <row r="6">
      <c r="A6" s="2" t="n">
        <v>5</v>
      </c>
      <c r="B6" s="2" t="inlineStr">
        <is>
          <t>EJFEveW2fy9o7ARLpU7ch7aHbPwK3hLKGTmQ9EkNZa43</t>
        </is>
      </c>
      <c r="C6" s="2" t="inlineStr">
        <is>
          <t>fomo</t>
        </is>
      </c>
      <c r="D6" s="2" t="inlineStr">
        <is>
          <t>FirmDeafFox</t>
        </is>
      </c>
      <c r="E6" s="8" t="n">
        <v>14197.44</v>
      </c>
      <c r="F6" s="8" t="n">
        <v>0</v>
      </c>
      <c r="G6" s="8" t="n">
        <v>14197.44</v>
      </c>
      <c r="H6" s="2" t="n">
        <v>1130.15</v>
      </c>
      <c r="I6" s="8" t="n">
        <v>1256.25</v>
      </c>
      <c r="J6" s="8" t="n">
        <v>15453.68</v>
      </c>
      <c r="K6" s="2" t="n">
        <v>2</v>
      </c>
      <c r="L6" s="2" t="n">
        <v>5</v>
      </c>
      <c r="M6" s="2" t="inlineStr">
        <is>
          <t>2026-09-24T14:07:54Z</t>
        </is>
      </c>
      <c r="N6" s="2" t="inlineStr">
        <is>
          <t>2026-09-26T04:23:45Z</t>
        </is>
      </c>
      <c r="O6" s="2" t="n">
        <v>137751</v>
      </c>
      <c r="P6" s="2" t="n">
        <v>0</v>
      </c>
      <c r="Q6" s="8" t="n">
        <v>0</v>
      </c>
      <c r="R6" s="8" t="n">
        <v>8077.47</v>
      </c>
      <c r="S6" s="2" t="n">
        <v>589</v>
      </c>
      <c r="T6" s="2" t="n">
        <v>76</v>
      </c>
    </row>
    <row r="7">
      <c r="A7" s="2" t="n">
        <v>6</v>
      </c>
      <c r="B7" s="2" t="inlineStr">
        <is>
          <t>4nQ4VWTAadJB2sgQqabBVBft3VPpQcHi3RdX2qcJZTMD</t>
        </is>
      </c>
      <c r="C7" s="2" t="inlineStr">
        <is>
          <t>axiom</t>
        </is>
      </c>
      <c r="E7" s="8" t="n">
        <v>11818.44</v>
      </c>
      <c r="F7" s="8" t="n">
        <v>0</v>
      </c>
      <c r="G7" s="8" t="n">
        <v>11818.44</v>
      </c>
      <c r="H7" s="2" t="n">
        <v>1469.67</v>
      </c>
      <c r="I7" s="8" t="n">
        <v>804.15</v>
      </c>
      <c r="J7" s="8" t="n">
        <v>12622.6</v>
      </c>
      <c r="K7" s="2" t="n">
        <v>8</v>
      </c>
      <c r="L7" s="2" t="n">
        <v>32</v>
      </c>
      <c r="M7" s="2" t="inlineStr">
        <is>
          <t>2026-09-17T19:12:39Z</t>
        </is>
      </c>
      <c r="N7" s="2" t="inlineStr">
        <is>
          <t>2026-09-17T22:40:02Z</t>
        </is>
      </c>
      <c r="O7" s="2" t="n">
        <v>2376080</v>
      </c>
      <c r="P7" s="2" t="n">
        <v>5.587935e-09</v>
      </c>
      <c r="Q7" s="8" t="n">
        <v>0</v>
      </c>
      <c r="R7" s="8" t="n">
        <v>-21131.84</v>
      </c>
      <c r="S7" s="2" t="n">
        <v>3793</v>
      </c>
      <c r="T7" s="2" t="n">
        <v>913</v>
      </c>
    </row>
    <row r="8">
      <c r="A8" s="2" t="n">
        <v>7</v>
      </c>
      <c r="B8" s="2" t="inlineStr">
        <is>
          <t>3ULrdcEaBHsXACWnMo6foav1nkV7QDsPipsUyY2fT5AS</t>
        </is>
      </c>
      <c r="C8" s="2" t="inlineStr">
        <is>
          <t>potential_bot;pumpfun-app</t>
        </is>
      </c>
      <c r="D8" s="2" t="inlineStr">
        <is>
          <t>newlobster60567</t>
        </is>
      </c>
      <c r="E8" s="8" t="n">
        <v>11324.02</v>
      </c>
      <c r="F8" s="8" t="n">
        <v>0</v>
      </c>
      <c r="G8" s="8" t="n">
        <v>11324.02</v>
      </c>
      <c r="H8" s="2" t="n">
        <v>218.41</v>
      </c>
      <c r="I8" s="8" t="n">
        <v>5184.73</v>
      </c>
      <c r="J8" s="8" t="n">
        <v>16508.75</v>
      </c>
      <c r="K8" s="2" t="n">
        <v>39</v>
      </c>
      <c r="L8" s="2" t="n">
        <v>47</v>
      </c>
      <c r="M8" s="2" t="inlineStr">
        <is>
          <t>2026-09-17T21:20:30Z</t>
        </is>
      </c>
      <c r="N8" s="2" t="inlineStr">
        <is>
          <t>2026-09-22T02:14:12Z</t>
        </is>
      </c>
      <c r="O8" s="2" t="n">
        <v>363222</v>
      </c>
      <c r="P8" s="2" t="n">
        <v>0</v>
      </c>
      <c r="Q8" s="8" t="n">
        <v>0</v>
      </c>
      <c r="R8" s="8" t="n">
        <v>811646.17</v>
      </c>
      <c r="S8" s="2" t="n">
        <v>3126</v>
      </c>
      <c r="T8" s="2" t="n">
        <v>173</v>
      </c>
    </row>
    <row r="9">
      <c r="A9" s="2" t="n">
        <v>8</v>
      </c>
      <c r="B9" s="2" t="inlineStr">
        <is>
          <t>CyaE1VxvBrahnPWkqm5VsdCvyS2QmNht2UFrKJHga54o</t>
        </is>
      </c>
      <c r="C9" s="2" t="inlineStr">
        <is>
          <t>kol;terminal;axiom;photon;pumpfun-app;bloom;sns</t>
        </is>
      </c>
      <c r="D9" s="2" t="inlineStr">
        <is>
          <t>Cented</t>
        </is>
      </c>
      <c r="E9" s="8" t="n">
        <v>10423.99</v>
      </c>
      <c r="F9" s="8" t="n">
        <v>0</v>
      </c>
      <c r="G9" s="8" t="n">
        <v>10423.99</v>
      </c>
      <c r="H9" s="2" t="n">
        <v>252.65</v>
      </c>
      <c r="I9" s="8" t="n">
        <v>4125.82</v>
      </c>
      <c r="J9" s="8" t="n">
        <v>14549.81</v>
      </c>
      <c r="K9" s="2" t="n">
        <v>10</v>
      </c>
      <c r="L9" s="2" t="n">
        <v>20</v>
      </c>
      <c r="M9" s="2" t="inlineStr">
        <is>
          <t>2026-09-17T19:15:44Z</t>
        </is>
      </c>
      <c r="N9" s="2" t="inlineStr">
        <is>
          <t>2026-09-17T19:43:42Z</t>
        </is>
      </c>
      <c r="O9" s="2" t="n">
        <v>2375894</v>
      </c>
      <c r="P9" s="2" t="n">
        <v>5.122274e-09</v>
      </c>
      <c r="Q9" s="8" t="n">
        <v>0</v>
      </c>
      <c r="R9" s="8" t="n">
        <v>14378891.25</v>
      </c>
      <c r="S9" s="2" t="n">
        <v>552547</v>
      </c>
      <c r="T9" s="2" t="n">
        <v>107759</v>
      </c>
    </row>
    <row r="10">
      <c r="A10" s="2" t="n">
        <v>9</v>
      </c>
      <c r="B10" s="2" t="inlineStr">
        <is>
          <t>5B79fMkcFeRTiwm7ehsZsFiKsC7m7n1Bgv9yLxPp9q2X</t>
        </is>
      </c>
      <c r="C10" s="2" t="inlineStr">
        <is>
          <t>kol;axiom;sns</t>
        </is>
      </c>
      <c r="D10" s="2" t="inlineStr">
        <is>
          <t>bandit</t>
        </is>
      </c>
      <c r="E10" s="8" t="n">
        <v>10400.93</v>
      </c>
      <c r="F10" s="8" t="n">
        <v>0</v>
      </c>
      <c r="G10" s="8" t="n">
        <v>10400.93</v>
      </c>
      <c r="H10" s="2" t="n">
        <v>1970.84</v>
      </c>
      <c r="I10" s="8" t="n">
        <v>527.74</v>
      </c>
      <c r="J10" s="8" t="n">
        <v>10928.67</v>
      </c>
      <c r="K10" s="2" t="n">
        <v>4</v>
      </c>
      <c r="L10" s="2" t="n">
        <v>8</v>
      </c>
      <c r="M10" s="2" t="inlineStr">
        <is>
          <t>2026-09-17T19:12:08Z</t>
        </is>
      </c>
      <c r="N10" s="2" t="inlineStr">
        <is>
          <t>2026-09-17T19:36:15Z</t>
        </is>
      </c>
      <c r="O10" s="2" t="n">
        <v>1447</v>
      </c>
      <c r="P10" s="2" t="n">
        <v>0</v>
      </c>
      <c r="Q10" s="8" t="n">
        <v>0</v>
      </c>
      <c r="R10" s="8" t="n">
        <v>1512535.86</v>
      </c>
      <c r="S10" s="2" t="n">
        <v>163123</v>
      </c>
      <c r="T10" s="2" t="n">
        <v>29972</v>
      </c>
    </row>
    <row r="11">
      <c r="A11" s="2" t="n">
        <v>10</v>
      </c>
      <c r="B11" s="2" t="inlineStr">
        <is>
          <t>EYkRnmNfmSFUkzz4vYE2uii2UW2cTSr2Urf32BUkUX9k</t>
        </is>
      </c>
      <c r="E11" s="8" t="n">
        <v>9666.4</v>
      </c>
      <c r="F11" s="8" t="n">
        <v>0</v>
      </c>
      <c r="G11" s="8" t="n">
        <v>9666.4</v>
      </c>
      <c r="H11" s="2" t="n">
        <v>0</v>
      </c>
      <c r="I11" s="8" t="n">
        <v>0</v>
      </c>
      <c r="J11" s="8" t="n">
        <v>9666.4</v>
      </c>
      <c r="K11" s="2" t="n">
        <v>0</v>
      </c>
      <c r="L11" s="2" t="n">
        <v>16</v>
      </c>
      <c r="M11" s="2" t="inlineStr">
        <is>
          <t>2026-09-26T03:45:34Z</t>
        </is>
      </c>
      <c r="N11" s="2" t="inlineStr">
        <is>
          <t>2026-09-26T04:21:36Z</t>
        </is>
      </c>
      <c r="P11" s="2" t="n">
        <v>0</v>
      </c>
      <c r="Q11" s="8" t="n">
        <v>0</v>
      </c>
      <c r="R11" s="8" t="n">
        <v>9666.4</v>
      </c>
      <c r="S11" s="2" t="n">
        <v>16</v>
      </c>
      <c r="T11" s="2" t="n">
        <v>1</v>
      </c>
    </row>
    <row r="12">
      <c r="A12" s="2" t="n">
        <v>11</v>
      </c>
      <c r="B12" s="2" t="inlineStr">
        <is>
          <t>3nLh14fRyZr1EBpp7jJqwBqKt8uLBFZ1rTmVTfLvnkfj</t>
        </is>
      </c>
      <c r="C12" s="2" t="inlineStr">
        <is>
          <t>potential_bot;axiom</t>
        </is>
      </c>
      <c r="E12" s="8" t="n">
        <v>9051.790000000001</v>
      </c>
      <c r="F12" s="8" t="n">
        <v>0</v>
      </c>
      <c r="G12" s="8" t="n">
        <v>9051.790000000001</v>
      </c>
      <c r="H12" s="2" t="n">
        <v>513.63</v>
      </c>
      <c r="I12" s="8" t="n">
        <v>1762.33</v>
      </c>
      <c r="J12" s="8" t="n">
        <v>10814.13</v>
      </c>
      <c r="K12" s="2" t="n">
        <v>6</v>
      </c>
      <c r="L12" s="2" t="n">
        <v>19</v>
      </c>
      <c r="M12" s="2" t="inlineStr">
        <is>
          <t>2026-09-17T19:18:26Z</t>
        </is>
      </c>
      <c r="N12" s="2" t="inlineStr">
        <is>
          <t>2026-09-24T23:09:28Z</t>
        </is>
      </c>
      <c r="O12" s="2" t="n">
        <v>618662</v>
      </c>
      <c r="P12" s="2" t="n">
        <v>0</v>
      </c>
      <c r="Q12" s="8" t="n">
        <v>0</v>
      </c>
      <c r="R12" s="8" t="n">
        <v>497256.03</v>
      </c>
      <c r="S12" s="2" t="n">
        <v>14370</v>
      </c>
      <c r="T12" s="2" t="n">
        <v>2255</v>
      </c>
    </row>
    <row r="13">
      <c r="A13" s="2" t="n">
        <v>12</v>
      </c>
      <c r="B13" s="2" t="inlineStr">
        <is>
          <t>5tNXmLdWCY58mjGVn6a6hTxLqyDntKAetwWcLaphRnL</t>
        </is>
      </c>
      <c r="C13" s="2" t="inlineStr">
        <is>
          <t>axiom</t>
        </is>
      </c>
      <c r="E13" s="8" t="n">
        <v>8497.26</v>
      </c>
      <c r="F13" s="8" t="n">
        <v>0</v>
      </c>
      <c r="G13" s="8" t="n">
        <v>8497.26</v>
      </c>
      <c r="H13" s="2" t="n">
        <v>723.09</v>
      </c>
      <c r="I13" s="8" t="n">
        <v>1175.14</v>
      </c>
      <c r="J13" s="8" t="n">
        <v>9672.389999999999</v>
      </c>
      <c r="K13" s="2" t="n">
        <v>2</v>
      </c>
      <c r="L13" s="2" t="n">
        <v>8</v>
      </c>
      <c r="M13" s="2" t="inlineStr">
        <is>
          <t>2026-09-24T23:18:53Z</t>
        </is>
      </c>
      <c r="N13" s="2" t="inlineStr">
        <is>
          <t>2026-09-26T04:27:27Z</t>
        </is>
      </c>
      <c r="O13" s="2" t="n">
        <v>1756505</v>
      </c>
      <c r="P13" s="2" t="n">
        <v>2.32831e-10</v>
      </c>
      <c r="Q13" s="8" t="n">
        <v>0</v>
      </c>
      <c r="R13" s="8" t="n">
        <v>6921.87</v>
      </c>
      <c r="S13" s="2" t="n">
        <v>49</v>
      </c>
      <c r="T13" s="2" t="n">
        <v>8</v>
      </c>
    </row>
    <row r="14">
      <c r="A14" s="2" t="n">
        <v>13</v>
      </c>
      <c r="B14" s="2" t="inlineStr">
        <is>
          <t>WJWQRpigXNgnMH8wdjLuo5XfuY3sk6WHc3DAaBXf8Vx</t>
        </is>
      </c>
      <c r="C14" s="2" t="inlineStr">
        <is>
          <t>axiom</t>
        </is>
      </c>
      <c r="E14" s="8" t="n">
        <v>7679.67</v>
      </c>
      <c r="F14" s="8" t="n">
        <v>0</v>
      </c>
      <c r="G14" s="8" t="n">
        <v>7679.67</v>
      </c>
      <c r="H14" s="2" t="n">
        <v>874.61</v>
      </c>
      <c r="I14" s="8" t="n">
        <v>878.0700000000001</v>
      </c>
      <c r="J14" s="8" t="n">
        <v>8557.75</v>
      </c>
      <c r="K14" s="2" t="n">
        <v>6</v>
      </c>
      <c r="L14" s="2" t="n">
        <v>3</v>
      </c>
      <c r="M14" s="2" t="inlineStr">
        <is>
          <t>2026-09-17T19:19:31Z</t>
        </is>
      </c>
      <c r="N14" s="2" t="inlineStr">
        <is>
          <t>2026-09-18T01:00:12Z</t>
        </is>
      </c>
      <c r="O14" s="2" t="n">
        <v>20441</v>
      </c>
      <c r="P14" s="2" t="n">
        <v>0</v>
      </c>
      <c r="Q14" s="8" t="n">
        <v>0</v>
      </c>
      <c r="R14" s="8" t="n">
        <v>1364.61</v>
      </c>
      <c r="S14" s="2" t="n">
        <v>2038</v>
      </c>
      <c r="T14" s="2" t="n">
        <v>589</v>
      </c>
    </row>
    <row r="15">
      <c r="A15" s="2" t="n">
        <v>14</v>
      </c>
      <c r="B15" s="2" t="inlineStr">
        <is>
          <t>922M9fBTzwGfC4Gqu3WxB8S89WHaTfVAUZKwK5PNtZpk</t>
        </is>
      </c>
      <c r="C15" s="2" t="inlineStr">
        <is>
          <t>potential_bot</t>
        </is>
      </c>
      <c r="E15" s="8" t="n">
        <v>7145.46</v>
      </c>
      <c r="F15" s="8" t="n">
        <v>0</v>
      </c>
      <c r="G15" s="8" t="n">
        <v>7145.46</v>
      </c>
      <c r="H15" s="2" t="n">
        <v>5.17</v>
      </c>
      <c r="I15" s="8" t="n">
        <v>138203.95</v>
      </c>
      <c r="J15" s="8" t="n">
        <v>145345</v>
      </c>
      <c r="K15" s="2" t="n">
        <v>260</v>
      </c>
      <c r="L15" s="2" t="n">
        <v>2598</v>
      </c>
      <c r="M15" s="2" t="inlineStr">
        <is>
          <t>2026-09-17T19:25:36Z</t>
        </is>
      </c>
      <c r="N15" s="2" t="inlineStr">
        <is>
          <t>2026-09-26T12:38:36Z</t>
        </is>
      </c>
      <c r="O15" s="2" t="n">
        <v>753181</v>
      </c>
      <c r="P15" s="2" t="n">
        <v>0</v>
      </c>
      <c r="Q15" s="8" t="n">
        <v>0</v>
      </c>
      <c r="R15" s="8" t="n">
        <v>1134227.44</v>
      </c>
      <c r="S15" s="2" t="n">
        <v>598129</v>
      </c>
      <c r="T15" s="2" t="n">
        <v>2830</v>
      </c>
    </row>
    <row r="16">
      <c r="A16" s="2" t="n">
        <v>15</v>
      </c>
      <c r="B16" s="2" t="inlineStr">
        <is>
          <t>HyGWBXCTcSW3F9dPdZhz5RD4ubjKyjmMccArDSEBfYxM</t>
        </is>
      </c>
      <c r="C16" s="2" t="inlineStr">
        <is>
          <t>terminal;axiom</t>
        </is>
      </c>
      <c r="E16" s="8" t="n">
        <v>6992.96</v>
      </c>
      <c r="F16" s="8" t="n">
        <v>0</v>
      </c>
      <c r="G16" s="8" t="n">
        <v>6992.96</v>
      </c>
      <c r="H16" s="2" t="n">
        <v>274.27</v>
      </c>
      <c r="I16" s="8" t="n">
        <v>2549.65</v>
      </c>
      <c r="J16" s="8" t="n">
        <v>9542.620000000001</v>
      </c>
      <c r="K16" s="2" t="n">
        <v>3</v>
      </c>
      <c r="L16" s="2" t="n">
        <v>11</v>
      </c>
      <c r="M16" s="2" t="inlineStr">
        <is>
          <t>2026-09-17T19:21:37Z</t>
        </is>
      </c>
      <c r="N16" s="2" t="inlineStr">
        <is>
          <t>2026-09-17T19:36:34Z</t>
        </is>
      </c>
      <c r="O16" s="2" t="n">
        <v>2375542</v>
      </c>
      <c r="P16" s="2" t="n">
        <v>4.07454e-10</v>
      </c>
      <c r="Q16" s="8" t="n">
        <v>0</v>
      </c>
      <c r="R16" s="8" t="n">
        <v>38895.84</v>
      </c>
      <c r="S16" s="2" t="n">
        <v>1302</v>
      </c>
      <c r="T16" s="2" t="n">
        <v>348</v>
      </c>
    </row>
    <row r="17">
      <c r="A17" s="2" t="n">
        <v>16</v>
      </c>
      <c r="B17" s="2" t="inlineStr">
        <is>
          <t>5pHeNsWMVEi1cbMzLhgqABnhEUwRTSzy5vBfeGWyJfxS</t>
        </is>
      </c>
      <c r="C17" s="2" t="inlineStr">
        <is>
          <t>potential_bot;fomo</t>
        </is>
      </c>
      <c r="D17" s="2" t="inlineStr">
        <is>
          <t>‎ ‎ ‎</t>
        </is>
      </c>
      <c r="E17" s="8" t="n">
        <v>6435.1</v>
      </c>
      <c r="F17" s="8" t="n">
        <v>0</v>
      </c>
      <c r="G17" s="8" t="n">
        <v>6435.1</v>
      </c>
      <c r="H17" s="2" t="n">
        <v>31.37</v>
      </c>
      <c r="I17" s="8" t="n">
        <v>20512.8</v>
      </c>
      <c r="J17" s="8" t="n">
        <v>26947.9</v>
      </c>
      <c r="K17" s="2" t="n">
        <v>23</v>
      </c>
      <c r="L17" s="2" t="n">
        <v>18</v>
      </c>
      <c r="M17" s="2" t="inlineStr">
        <is>
          <t>2026-09-17T19:25:49Z</t>
        </is>
      </c>
      <c r="N17" s="2" t="inlineStr">
        <is>
          <t>2026-09-27T17:57:06Z</t>
        </is>
      </c>
      <c r="O17" s="2" t="n">
        <v>858677</v>
      </c>
      <c r="P17" s="2" t="n">
        <v>0</v>
      </c>
      <c r="Q17" s="8" t="n">
        <v>0</v>
      </c>
      <c r="R17" s="8" t="n">
        <v>-42618.23</v>
      </c>
      <c r="S17" s="2" t="n">
        <v>2232</v>
      </c>
      <c r="T17" s="2" t="n">
        <v>144</v>
      </c>
    </row>
    <row r="18">
      <c r="A18" s="2" t="n">
        <v>17</v>
      </c>
      <c r="B18" s="2" t="inlineStr">
        <is>
          <t>6dC4Rvt1c6mv6M27QeAxRCCbXjUaZPFRZPxZn2rLXN7s</t>
        </is>
      </c>
      <c r="C18" s="2" t="inlineStr">
        <is>
          <t>potential_bot;gmgn;axiom</t>
        </is>
      </c>
      <c r="E18" s="8" t="n">
        <v>6405.29</v>
      </c>
      <c r="F18" s="8" t="n">
        <v>0</v>
      </c>
      <c r="G18" s="8" t="n">
        <v>6405.29</v>
      </c>
      <c r="H18" s="2" t="n">
        <v>490.9</v>
      </c>
      <c r="I18" s="8" t="n">
        <v>1304.8</v>
      </c>
      <c r="J18" s="8" t="n">
        <v>7710.09</v>
      </c>
      <c r="K18" s="2" t="n">
        <v>10</v>
      </c>
      <c r="L18" s="2" t="n">
        <v>82</v>
      </c>
      <c r="M18" s="2" t="inlineStr">
        <is>
          <t>2026-09-17T19:15:02Z</t>
        </is>
      </c>
      <c r="N18" s="2" t="inlineStr">
        <is>
          <t>2026-09-17T19:35:21Z</t>
        </is>
      </c>
      <c r="O18" s="2" t="n">
        <v>1219</v>
      </c>
      <c r="P18" s="2" t="n">
        <v>0</v>
      </c>
      <c r="Q18" s="8" t="n">
        <v>0</v>
      </c>
      <c r="R18" s="8" t="n">
        <v>78093.31</v>
      </c>
      <c r="S18" s="2" t="n">
        <v>4902</v>
      </c>
      <c r="T18" s="2" t="n">
        <v>1124</v>
      </c>
    </row>
    <row r="19">
      <c r="A19" s="2" t="n">
        <v>18</v>
      </c>
      <c r="B19" s="2" t="inlineStr">
        <is>
          <t>1CNg1DM3egT1qiHNFNFNAFsCmgpczHHJk2fZdnkJyUv</t>
        </is>
      </c>
      <c r="C19" s="2" t="inlineStr">
        <is>
          <t>potential_bot;terminal;axiom</t>
        </is>
      </c>
      <c r="E19" s="8" t="n">
        <v>6014.38</v>
      </c>
      <c r="F19" s="8" t="n">
        <v>0</v>
      </c>
      <c r="G19" s="8" t="n">
        <v>6014.38</v>
      </c>
      <c r="H19" s="2" t="n">
        <v>0</v>
      </c>
      <c r="I19" s="8" t="n">
        <v>0</v>
      </c>
      <c r="J19" s="8" t="n">
        <v>6014.38</v>
      </c>
      <c r="K19" s="2" t="n">
        <v>0</v>
      </c>
      <c r="L19" s="2" t="n">
        <v>2</v>
      </c>
      <c r="M19" s="2" t="inlineStr">
        <is>
          <t>2026-09-28T22:55:31Z</t>
        </is>
      </c>
      <c r="N19" s="2" t="inlineStr">
        <is>
          <t>2026-09-28T22:55:32Z</t>
        </is>
      </c>
      <c r="P19" s="2" t="n">
        <v>0</v>
      </c>
      <c r="Q19" s="8" t="n">
        <v>0</v>
      </c>
      <c r="R19" s="8" t="n">
        <v>64334.79</v>
      </c>
      <c r="S19" s="2" t="n">
        <v>497</v>
      </c>
      <c r="T19" s="2" t="n">
        <v>182</v>
      </c>
    </row>
    <row r="20">
      <c r="A20" s="2" t="n">
        <v>19</v>
      </c>
      <c r="B20" s="2" t="inlineStr">
        <is>
          <t>8HH3M6SfUCC9yGM3ytaFQWnDc19tSBYCNJBnqeWaQ8Xb</t>
        </is>
      </c>
      <c r="C20" s="2" t="inlineStr">
        <is>
          <t>pumpfun-app</t>
        </is>
      </c>
      <c r="D20" s="2" t="inlineStr">
        <is>
          <t>fomo_sexual</t>
        </is>
      </c>
      <c r="E20" s="8" t="n">
        <v>5839.45</v>
      </c>
      <c r="F20" s="8" t="n">
        <v>0</v>
      </c>
      <c r="G20" s="8" t="n">
        <v>5839.45</v>
      </c>
      <c r="H20" s="2" t="n">
        <v>91.67</v>
      </c>
      <c r="I20" s="8" t="n">
        <v>6370.11</v>
      </c>
      <c r="J20" s="8" t="n">
        <v>12209.56</v>
      </c>
      <c r="K20" s="2" t="n">
        <v>4</v>
      </c>
      <c r="L20" s="2" t="n">
        <v>2</v>
      </c>
      <c r="M20" s="2" t="inlineStr">
        <is>
          <t>2026-09-17T19:19:21Z</t>
        </is>
      </c>
      <c r="N20" s="2" t="inlineStr">
        <is>
          <t>2026-09-17T21:58:10Z</t>
        </is>
      </c>
      <c r="O20" s="2" t="n">
        <v>9529</v>
      </c>
      <c r="P20" s="2" t="n">
        <v>0</v>
      </c>
      <c r="Q20" s="8" t="n">
        <v>0</v>
      </c>
      <c r="R20" s="8" t="n">
        <v>462993.45</v>
      </c>
      <c r="S20" s="2" t="n">
        <v>2606</v>
      </c>
      <c r="T20" s="2" t="n">
        <v>567</v>
      </c>
    </row>
    <row r="21">
      <c r="A21" s="2" t="n">
        <v>20</v>
      </c>
      <c r="B21" s="2" t="inlineStr">
        <is>
          <t>3EmnFHt5dFo5RW4oJf4zruBKJtm2gNgTkGCB5n6dXDvf</t>
        </is>
      </c>
      <c r="C21" s="2" t="inlineStr">
        <is>
          <t>fomo</t>
        </is>
      </c>
      <c r="E21" s="8" t="n">
        <v>5696.76</v>
      </c>
      <c r="F21" s="8" t="n">
        <v>0</v>
      </c>
      <c r="G21" s="8" t="n">
        <v>5696.76</v>
      </c>
      <c r="H21" s="2" t="n">
        <v>131.84</v>
      </c>
      <c r="I21" s="8" t="n">
        <v>4321</v>
      </c>
      <c r="J21" s="8" t="n">
        <v>10017.76</v>
      </c>
      <c r="K21" s="2" t="n">
        <v>3</v>
      </c>
      <c r="L21" s="2" t="n">
        <v>4</v>
      </c>
      <c r="M21" s="2" t="inlineStr">
        <is>
          <t>2026-09-17T19:23:07Z</t>
        </is>
      </c>
      <c r="N21" s="2" t="inlineStr">
        <is>
          <t>2026-09-17T21:25:18Z</t>
        </is>
      </c>
      <c r="O21" s="2" t="n">
        <v>7331</v>
      </c>
      <c r="P21" s="2" t="n">
        <v>0</v>
      </c>
      <c r="Q21" s="8" t="n">
        <v>0</v>
      </c>
      <c r="R21" s="8" t="n">
        <v>15024.59</v>
      </c>
      <c r="S21" s="2" t="n">
        <v>673</v>
      </c>
      <c r="T21" s="2" t="n">
        <v>220</v>
      </c>
    </row>
    <row r="22">
      <c r="A22" s="2" t="n">
        <v>21</v>
      </c>
      <c r="B22" s="2" t="inlineStr">
        <is>
          <t>gasBidSWW5zmwXs3gn8TG2ijzKkrwpyM7ucwjgDQst6</t>
        </is>
      </c>
      <c r="C22" s="2" t="inlineStr">
        <is>
          <t>potential_bot</t>
        </is>
      </c>
      <c r="E22" s="8" t="n">
        <v>5684.03</v>
      </c>
      <c r="F22" s="8" t="n">
        <v>0</v>
      </c>
      <c r="G22" s="8" t="n">
        <v>5684.03</v>
      </c>
      <c r="H22" s="2" t="n">
        <v>267.46</v>
      </c>
      <c r="I22" s="8" t="n">
        <v>2125.18</v>
      </c>
      <c r="J22" s="8" t="n">
        <v>7809.2</v>
      </c>
      <c r="K22" s="2" t="n">
        <v>64</v>
      </c>
      <c r="L22" s="2" t="n">
        <v>89</v>
      </c>
      <c r="M22" s="2" t="inlineStr">
        <is>
          <t>2026-09-17T21:15:35Z</t>
        </is>
      </c>
      <c r="N22" s="2" t="inlineStr">
        <is>
          <t>2026-09-26T04:04:59Z</t>
        </is>
      </c>
      <c r="O22" s="2" t="n">
        <v>715763</v>
      </c>
      <c r="P22" s="2" t="n">
        <v>0</v>
      </c>
      <c r="Q22" s="8" t="n">
        <v>0</v>
      </c>
      <c r="R22" s="8" t="n">
        <v>7942952.49</v>
      </c>
      <c r="S22" s="2" t="n">
        <v>186047</v>
      </c>
      <c r="T22" s="2" t="n">
        <v>2291</v>
      </c>
    </row>
    <row r="23">
      <c r="A23" s="2" t="n">
        <v>22</v>
      </c>
      <c r="B23" s="2" t="inlineStr">
        <is>
          <t>2tiFfUNd4HEYg5XtSiNgrfptZ5LSjNU4dCFbg5YqWbBz</t>
        </is>
      </c>
      <c r="C23" s="2" t="inlineStr">
        <is>
          <t>gmgn;axiom</t>
        </is>
      </c>
      <c r="E23" s="8" t="n">
        <v>5145.71</v>
      </c>
      <c r="F23" s="8" t="n">
        <v>0</v>
      </c>
      <c r="G23" s="8" t="n">
        <v>5145.71</v>
      </c>
      <c r="H23" s="2" t="n">
        <v>740.96</v>
      </c>
      <c r="I23" s="8" t="n">
        <v>694.46</v>
      </c>
      <c r="J23" s="8" t="n">
        <v>5840.17</v>
      </c>
      <c r="K23" s="2" t="n">
        <v>4</v>
      </c>
      <c r="L23" s="2" t="n">
        <v>20</v>
      </c>
      <c r="M23" s="2" t="inlineStr">
        <is>
          <t>2026-09-17T19:17:12Z</t>
        </is>
      </c>
      <c r="N23" s="2" t="inlineStr">
        <is>
          <t>2026-09-17T19:23:19Z</t>
        </is>
      </c>
      <c r="O23" s="2" t="n">
        <v>367</v>
      </c>
      <c r="P23" s="2" t="n">
        <v>0</v>
      </c>
      <c r="Q23" s="8" t="n">
        <v>0</v>
      </c>
      <c r="R23" s="8" t="n">
        <v>41704.44</v>
      </c>
      <c r="S23" s="2" t="n">
        <v>9517</v>
      </c>
      <c r="T23" s="2" t="n">
        <v>779</v>
      </c>
    </row>
    <row r="24">
      <c r="A24" s="2" t="n">
        <v>23</v>
      </c>
      <c r="B24" s="2" t="inlineStr">
        <is>
          <t>nMK9myLJSftWpbacFUnaHx5bG3VUmbucghQMyHMgFZU</t>
        </is>
      </c>
      <c r="C24" s="2" t="inlineStr">
        <is>
          <t>axiom</t>
        </is>
      </c>
      <c r="E24" s="8" t="n">
        <v>5109.42</v>
      </c>
      <c r="F24" s="8" t="n">
        <v>0</v>
      </c>
      <c r="G24" s="8" t="n">
        <v>5109.42</v>
      </c>
      <c r="H24" s="2" t="n">
        <v>289.85</v>
      </c>
      <c r="I24" s="8" t="n">
        <v>1762.81</v>
      </c>
      <c r="J24" s="8" t="n">
        <v>6872.22</v>
      </c>
      <c r="K24" s="2" t="n">
        <v>3</v>
      </c>
      <c r="L24" s="2" t="n">
        <v>5</v>
      </c>
      <c r="M24" s="2" t="inlineStr">
        <is>
          <t>2026-09-24T23:19:48Z</t>
        </is>
      </c>
      <c r="N24" s="2" t="inlineStr">
        <is>
          <t>2026-09-26T03:16:08Z</t>
        </is>
      </c>
      <c r="O24" s="2" t="n">
        <v>100580</v>
      </c>
      <c r="P24" s="2" t="n">
        <v>0</v>
      </c>
      <c r="Q24" s="8" t="n">
        <v>0</v>
      </c>
      <c r="R24" s="8" t="n">
        <v>-2755.72</v>
      </c>
      <c r="S24" s="2" t="n">
        <v>259</v>
      </c>
      <c r="T24" s="2" t="n">
        <v>34</v>
      </c>
    </row>
    <row r="25">
      <c r="A25" s="2" t="n">
        <v>24</v>
      </c>
      <c r="B25" s="2" t="inlineStr">
        <is>
          <t>4xd3Y2qvX43wwfLupdQVsE5ZTpnhXmpn8Dmf4Hufkj9n</t>
        </is>
      </c>
      <c r="C25" s="2" t="inlineStr">
        <is>
          <t>axiom</t>
        </is>
      </c>
      <c r="E25" s="8" t="n">
        <v>4729</v>
      </c>
      <c r="F25" s="8" t="n">
        <v>0</v>
      </c>
      <c r="G25" s="8" t="n">
        <v>4729</v>
      </c>
      <c r="H25" s="2" t="n">
        <v>24.98</v>
      </c>
      <c r="I25" s="8" t="n">
        <v>18929.66</v>
      </c>
      <c r="J25" s="8" t="n">
        <v>23658.66</v>
      </c>
      <c r="K25" s="2" t="n">
        <v>47</v>
      </c>
      <c r="L25" s="2" t="n">
        <v>34</v>
      </c>
      <c r="M25" s="2" t="inlineStr">
        <is>
          <t>2026-09-17T19:25:44Z</t>
        </is>
      </c>
      <c r="N25" s="2" t="inlineStr">
        <is>
          <t>2026-09-17T20:01:01Z</t>
        </is>
      </c>
      <c r="O25" s="2" t="n">
        <v>2375294</v>
      </c>
      <c r="P25" s="2" t="n">
        <v>8.847563999999999e-09</v>
      </c>
      <c r="Q25" s="8" t="n">
        <v>0</v>
      </c>
      <c r="R25" s="8" t="n">
        <v>471800.61</v>
      </c>
      <c r="S25" s="2" t="n">
        <v>38811</v>
      </c>
      <c r="T25" s="2" t="n">
        <v>7690</v>
      </c>
    </row>
    <row r="26">
      <c r="A26" s="2" t="n">
        <v>25</v>
      </c>
      <c r="B26" s="2" t="inlineStr">
        <is>
          <t>DXYo85dMRjN72mEwwMADfPcsSknup9D7aoH9TExCDpns</t>
        </is>
      </c>
      <c r="C26" s="2" t="inlineStr">
        <is>
          <t>gmgn;axiom;pumpfun-app</t>
        </is>
      </c>
      <c r="D26" s="2" t="inlineStr">
        <is>
          <t>robustorca18145</t>
        </is>
      </c>
      <c r="E26" s="8" t="n">
        <v>4724.37</v>
      </c>
      <c r="F26" s="8" t="n">
        <v>0</v>
      </c>
      <c r="G26" s="8" t="n">
        <v>4724.37</v>
      </c>
      <c r="H26" s="2" t="n">
        <v>392.06</v>
      </c>
      <c r="I26" s="8" t="n">
        <v>1205.02</v>
      </c>
      <c r="J26" s="8" t="n">
        <v>5929.4</v>
      </c>
      <c r="K26" s="2" t="n">
        <v>9</v>
      </c>
      <c r="L26" s="2" t="n">
        <v>56</v>
      </c>
      <c r="M26" s="2" t="inlineStr">
        <is>
          <t>2026-09-17T19:15:02Z</t>
        </is>
      </c>
      <c r="N26" s="2" t="inlineStr">
        <is>
          <t>2026-09-17T19:35:32Z</t>
        </is>
      </c>
      <c r="O26" s="2" t="n">
        <v>1231</v>
      </c>
      <c r="P26" s="2" t="n">
        <v>0</v>
      </c>
      <c r="Q26" s="8" t="n">
        <v>0</v>
      </c>
      <c r="R26" s="8" t="n">
        <v>213533.38</v>
      </c>
      <c r="S26" s="2" t="n">
        <v>10578</v>
      </c>
      <c r="T26" s="2" t="n">
        <v>1973</v>
      </c>
    </row>
    <row r="27">
      <c r="A27" s="2" t="n">
        <v>26</v>
      </c>
      <c r="B27" s="2" t="inlineStr">
        <is>
          <t>a9Cct2wpjn4vWSR4rsytxm1URyk6vTXo4RTqXFpjyvD</t>
        </is>
      </c>
      <c r="C27" s="2" t="inlineStr">
        <is>
          <t>axiom</t>
        </is>
      </c>
      <c r="E27" s="8" t="n">
        <v>4707.28</v>
      </c>
      <c r="F27" s="8" t="n">
        <v>0</v>
      </c>
      <c r="G27" s="8" t="n">
        <v>4707.28</v>
      </c>
      <c r="H27" s="2" t="n">
        <v>795.98</v>
      </c>
      <c r="I27" s="8" t="n">
        <v>591.38</v>
      </c>
      <c r="J27" s="8" t="n">
        <v>5298.67</v>
      </c>
      <c r="K27" s="2" t="n">
        <v>6</v>
      </c>
      <c r="L27" s="2" t="n">
        <v>26</v>
      </c>
      <c r="M27" s="2" t="inlineStr">
        <is>
          <t>2026-09-17T19:15:02Z</t>
        </is>
      </c>
      <c r="N27" s="2" t="inlineStr">
        <is>
          <t>2026-09-17T19:44:37Z</t>
        </is>
      </c>
      <c r="O27" s="2" t="n">
        <v>2375936</v>
      </c>
      <c r="P27" s="2" t="n">
        <v>1.164153e-09</v>
      </c>
      <c r="Q27" s="8" t="n">
        <v>0</v>
      </c>
      <c r="R27" s="8" t="n">
        <v>267973.09</v>
      </c>
      <c r="S27" s="2" t="n">
        <v>220155</v>
      </c>
      <c r="T27" s="2" t="n">
        <v>28296</v>
      </c>
    </row>
    <row r="28">
      <c r="A28" s="2" t="n">
        <v>27</v>
      </c>
      <c r="B28" s="2" t="inlineStr">
        <is>
          <t>ALiRQQjiJtfT44VcgLCur12oftvcSjnbUhZJJMPCxyi9</t>
        </is>
      </c>
      <c r="C28" s="2" t="inlineStr">
        <is>
          <t>gmgn;axiom</t>
        </is>
      </c>
      <c r="E28" s="8" t="n">
        <v>4632.82</v>
      </c>
      <c r="F28" s="8" t="n">
        <v>0</v>
      </c>
      <c r="G28" s="8" t="n">
        <v>4632.82</v>
      </c>
      <c r="H28" s="2" t="n">
        <v>785.0700000000001</v>
      </c>
      <c r="I28" s="8" t="n">
        <v>590.11</v>
      </c>
      <c r="J28" s="8" t="n">
        <v>5222.93</v>
      </c>
      <c r="K28" s="2" t="n">
        <v>4</v>
      </c>
      <c r="L28" s="2" t="n">
        <v>19</v>
      </c>
      <c r="M28" s="2" t="inlineStr">
        <is>
          <t>2026-09-17T19:17:12Z</t>
        </is>
      </c>
      <c r="N28" s="2" t="inlineStr">
        <is>
          <t>2026-09-17T19:23:12Z</t>
        </is>
      </c>
      <c r="O28" s="2" t="n">
        <v>361</v>
      </c>
      <c r="P28" s="2" t="n">
        <v>0</v>
      </c>
      <c r="Q28" s="8" t="n">
        <v>0</v>
      </c>
      <c r="R28" s="8" t="n">
        <v>33267.11</v>
      </c>
      <c r="S28" s="2" t="n">
        <v>7585</v>
      </c>
      <c r="T28" s="2" t="n">
        <v>730</v>
      </c>
    </row>
    <row r="29">
      <c r="A29" s="2" t="n">
        <v>28</v>
      </c>
      <c r="B29" s="2" t="inlineStr">
        <is>
          <t>4t6pyETLEd3o7Esm2zhqPVduti4fKXJWPtGWTYZtNLg6</t>
        </is>
      </c>
      <c r="C29" s="2" t="inlineStr">
        <is>
          <t>terminal;fomo</t>
        </is>
      </c>
      <c r="D29" s="2" t="inlineStr">
        <is>
          <t>🖰</t>
        </is>
      </c>
      <c r="E29" s="8" t="n">
        <v>4597.56</v>
      </c>
      <c r="F29" s="8" t="n">
        <v>0</v>
      </c>
      <c r="G29" s="8" t="n">
        <v>4597.56</v>
      </c>
      <c r="H29" s="2" t="n">
        <v>171.81</v>
      </c>
      <c r="I29" s="8" t="n">
        <v>2676.01</v>
      </c>
      <c r="J29" s="8" t="n">
        <v>7273.57</v>
      </c>
      <c r="K29" s="2" t="n">
        <v>7</v>
      </c>
      <c r="L29" s="2" t="n">
        <v>5</v>
      </c>
      <c r="M29" s="2" t="inlineStr">
        <is>
          <t>2026-09-17T19:22:57Z</t>
        </is>
      </c>
      <c r="N29" s="2" t="inlineStr">
        <is>
          <t>2026-09-17T21:00:26Z</t>
        </is>
      </c>
      <c r="O29" s="2" t="n">
        <v>5849</v>
      </c>
      <c r="P29" s="2" t="n">
        <v>0</v>
      </c>
      <c r="Q29" s="8" t="n">
        <v>0</v>
      </c>
      <c r="R29" s="8" t="n">
        <v>4799.06</v>
      </c>
      <c r="S29" s="2" t="n">
        <v>535</v>
      </c>
      <c r="T29" s="2" t="n">
        <v>125</v>
      </c>
    </row>
    <row r="30">
      <c r="A30" s="2" t="n">
        <v>29</v>
      </c>
      <c r="B30" s="2" t="inlineStr">
        <is>
          <t>72qiszPvrwpXQesTUaiEeMEYtbXZ8Lqa2jkHuwSoR4Rs</t>
        </is>
      </c>
      <c r="C30" s="2" t="inlineStr">
        <is>
          <t>fomo</t>
        </is>
      </c>
      <c r="D30" s="2" t="inlineStr">
        <is>
          <t>shrimproll</t>
        </is>
      </c>
      <c r="E30" s="8" t="n">
        <v>4588.24</v>
      </c>
      <c r="F30" s="8" t="n">
        <v>0</v>
      </c>
      <c r="G30" s="8" t="n">
        <v>4588.24</v>
      </c>
      <c r="H30" s="2" t="n">
        <v>30.21</v>
      </c>
      <c r="I30" s="8" t="n">
        <v>15187.53</v>
      </c>
      <c r="J30" s="8" t="n">
        <v>19775.77</v>
      </c>
      <c r="K30" s="2" t="n">
        <v>5</v>
      </c>
      <c r="L30" s="2" t="n">
        <v>20</v>
      </c>
      <c r="M30" s="2" t="inlineStr">
        <is>
          <t>2026-09-17T19:24:00Z</t>
        </is>
      </c>
      <c r="N30" s="2" t="inlineStr">
        <is>
          <t>2026-09-26T04:22:46Z</t>
        </is>
      </c>
      <c r="O30" s="2" t="n">
        <v>723526</v>
      </c>
      <c r="P30" s="2" t="n">
        <v>0</v>
      </c>
      <c r="Q30" s="8" t="n">
        <v>0</v>
      </c>
      <c r="R30" s="8" t="n">
        <v>8892.450000000001</v>
      </c>
      <c r="S30" s="2" t="n">
        <v>194</v>
      </c>
      <c r="T30" s="2" t="n">
        <v>59</v>
      </c>
    </row>
    <row r="31">
      <c r="A31" s="2" t="n">
        <v>30</v>
      </c>
      <c r="B31" s="2" t="inlineStr">
        <is>
          <t>FT9cwJgg2vf6JcqvEe7A2SAxt469F7zBLtyhsqYW2YvH</t>
        </is>
      </c>
      <c r="C31" s="2" t="inlineStr">
        <is>
          <t>pumpfun-app</t>
        </is>
      </c>
      <c r="D31" s="2" t="inlineStr">
        <is>
          <t>zixzah</t>
        </is>
      </c>
      <c r="E31" s="8" t="n">
        <v>4492.97</v>
      </c>
      <c r="F31" s="8" t="n">
        <v>0</v>
      </c>
      <c r="G31" s="8" t="n">
        <v>4492.97</v>
      </c>
      <c r="H31" s="2" t="n">
        <v>184.92</v>
      </c>
      <c r="I31" s="8" t="n">
        <v>2429.69</v>
      </c>
      <c r="J31" s="8" t="n">
        <v>6922.66</v>
      </c>
      <c r="K31" s="2" t="n">
        <v>4</v>
      </c>
      <c r="L31" s="2" t="n">
        <v>20</v>
      </c>
      <c r="M31" s="2" t="inlineStr">
        <is>
          <t>2026-09-17T19:18:30Z</t>
        </is>
      </c>
      <c r="N31" s="2" t="inlineStr">
        <is>
          <t>2026-09-18T22:22:23Z</t>
        </is>
      </c>
      <c r="O31" s="2" t="n">
        <v>97434</v>
      </c>
      <c r="P31" s="2" t="n">
        <v>0</v>
      </c>
      <c r="Q31" s="8" t="n">
        <v>0</v>
      </c>
      <c r="R31" s="8" t="n">
        <v>-53912.25</v>
      </c>
      <c r="S31" s="2" t="n">
        <v>1291</v>
      </c>
      <c r="T31" s="2" t="n">
        <v>480</v>
      </c>
    </row>
    <row r="32">
      <c r="A32" s="2" t="n">
        <v>31</v>
      </c>
      <c r="B32" s="2" t="inlineStr">
        <is>
          <t>AoQhsez9FxzbJuwhCDJiwCkDSYbvGv3khYAy8StH9R6V</t>
        </is>
      </c>
      <c r="C32" s="2" t="inlineStr">
        <is>
          <t>pumpfun-app</t>
        </is>
      </c>
      <c r="D32" s="2" t="inlineStr">
        <is>
          <t>Soltranza</t>
        </is>
      </c>
      <c r="E32" s="8" t="n">
        <v>4369.4</v>
      </c>
      <c r="F32" s="8" t="n">
        <v>0</v>
      </c>
      <c r="G32" s="8" t="n">
        <v>4369.4</v>
      </c>
      <c r="H32" s="2" t="n">
        <v>32.52</v>
      </c>
      <c r="I32" s="8" t="n">
        <v>13434.18</v>
      </c>
      <c r="J32" s="8" t="n">
        <v>17803.58</v>
      </c>
      <c r="K32" s="2" t="n">
        <v>121</v>
      </c>
      <c r="L32" s="2" t="n">
        <v>96</v>
      </c>
      <c r="M32" s="2" t="inlineStr">
        <is>
          <t>2026-09-19T14:42:19Z</t>
        </is>
      </c>
      <c r="N32" s="2" t="inlineStr">
        <is>
          <t>2026-10-13T15:38:23Z</t>
        </is>
      </c>
      <c r="O32" s="2" t="n">
        <v>2076965</v>
      </c>
      <c r="P32" s="2" t="n">
        <v>0</v>
      </c>
      <c r="Q32" s="8" t="n">
        <v>0</v>
      </c>
      <c r="R32" s="8" t="n">
        <v>161907.32</v>
      </c>
      <c r="S32" s="2" t="n">
        <v>9765</v>
      </c>
      <c r="T32" s="2" t="n">
        <v>183</v>
      </c>
    </row>
    <row r="33">
      <c r="A33" s="2" t="n">
        <v>32</v>
      </c>
      <c r="B33" s="2" t="inlineStr">
        <is>
          <t>HaxVjQgLK9yjdMerZtwsEgPcJReEi42fEgQ33BihsDRc</t>
        </is>
      </c>
      <c r="C33" s="2" t="inlineStr">
        <is>
          <t>terminal;axiom</t>
        </is>
      </c>
      <c r="E33" s="8" t="n">
        <v>4220.83</v>
      </c>
      <c r="F33" s="8" t="n">
        <v>0</v>
      </c>
      <c r="G33" s="8" t="n">
        <v>4220.83</v>
      </c>
      <c r="H33" s="2" t="n">
        <v>563.26</v>
      </c>
      <c r="I33" s="8" t="n">
        <v>749.36</v>
      </c>
      <c r="J33" s="8" t="n">
        <v>4970.19</v>
      </c>
      <c r="K33" s="2" t="n">
        <v>14</v>
      </c>
      <c r="L33" s="2" t="n">
        <v>66</v>
      </c>
      <c r="M33" s="2" t="inlineStr">
        <is>
          <t>2026-09-17T19:17:21Z</t>
        </is>
      </c>
      <c r="N33" s="2" t="inlineStr">
        <is>
          <t>2026-09-17T19:28:49Z</t>
        </is>
      </c>
      <c r="O33" s="2" t="n">
        <v>688</v>
      </c>
      <c r="P33" s="2" t="n">
        <v>0</v>
      </c>
      <c r="Q33" s="8" t="n">
        <v>0</v>
      </c>
      <c r="R33" s="8" t="n">
        <v>10867.43</v>
      </c>
      <c r="S33" s="2" t="n">
        <v>2495</v>
      </c>
      <c r="T33" s="2" t="n">
        <v>429</v>
      </c>
    </row>
    <row r="34">
      <c r="A34" s="2" t="n">
        <v>33</v>
      </c>
      <c r="B34" s="2" t="inlineStr">
        <is>
          <t>BGb7SiB1hw9bAbUarByVksALdXaz5iaD8mCKQRZJvK7T</t>
        </is>
      </c>
      <c r="C34" s="2" t="inlineStr">
        <is>
          <t>terminal;axiom</t>
        </is>
      </c>
      <c r="E34" s="8" t="n">
        <v>4176.39</v>
      </c>
      <c r="F34" s="8" t="n">
        <v>0</v>
      </c>
      <c r="G34" s="8" t="n">
        <v>4176.39</v>
      </c>
      <c r="H34" s="2" t="n">
        <v>543.98</v>
      </c>
      <c r="I34" s="8" t="n">
        <v>767.74</v>
      </c>
      <c r="J34" s="8" t="n">
        <v>4944.13</v>
      </c>
      <c r="K34" s="2" t="n">
        <v>14</v>
      </c>
      <c r="L34" s="2" t="n">
        <v>66</v>
      </c>
      <c r="M34" s="2" t="inlineStr">
        <is>
          <t>2026-09-17T19:17:21Z</t>
        </is>
      </c>
      <c r="N34" s="2" t="inlineStr">
        <is>
          <t>2026-09-17T19:28:49Z</t>
        </is>
      </c>
      <c r="O34" s="2" t="n">
        <v>688</v>
      </c>
      <c r="P34" s="2" t="n">
        <v>0</v>
      </c>
      <c r="Q34" s="8" t="n">
        <v>0</v>
      </c>
      <c r="R34" s="8" t="n">
        <v>2455.62</v>
      </c>
      <c r="S34" s="2" t="n">
        <v>1625</v>
      </c>
      <c r="T34" s="2" t="n">
        <v>332</v>
      </c>
    </row>
    <row r="35">
      <c r="A35" s="2" t="n">
        <v>34</v>
      </c>
      <c r="B35" s="2" t="inlineStr">
        <is>
          <t>MRLJSy9LVb6Qy53ae1jXrsKEQW2vS7J4uSsUHBxes5N</t>
        </is>
      </c>
      <c r="C35" s="2" t="inlineStr">
        <is>
          <t>terminal;axiom</t>
        </is>
      </c>
      <c r="E35" s="8" t="n">
        <v>4154.42</v>
      </c>
      <c r="F35" s="8" t="n">
        <v>0</v>
      </c>
      <c r="G35" s="8" t="n">
        <v>4154.42</v>
      </c>
      <c r="H35" s="2" t="n">
        <v>576.89</v>
      </c>
      <c r="I35" s="8" t="n">
        <v>720.14</v>
      </c>
      <c r="J35" s="8" t="n">
        <v>4874.56</v>
      </c>
      <c r="K35" s="2" t="n">
        <v>14</v>
      </c>
      <c r="L35" s="2" t="n">
        <v>66</v>
      </c>
      <c r="M35" s="2" t="inlineStr">
        <is>
          <t>2026-09-17T19:17:21Z</t>
        </is>
      </c>
      <c r="N35" s="2" t="inlineStr">
        <is>
          <t>2026-09-17T19:28:49Z</t>
        </is>
      </c>
      <c r="O35" s="2" t="n">
        <v>688</v>
      </c>
      <c r="P35" s="2" t="n">
        <v>0</v>
      </c>
      <c r="Q35" s="8" t="n">
        <v>0</v>
      </c>
      <c r="R35" s="8" t="n">
        <v>5385.29</v>
      </c>
      <c r="S35" s="2" t="n">
        <v>2596</v>
      </c>
      <c r="T35" s="2" t="n">
        <v>423</v>
      </c>
    </row>
    <row r="36">
      <c r="A36" s="2" t="n">
        <v>35</v>
      </c>
      <c r="B36" s="2" t="inlineStr">
        <is>
          <t>9cAz6WUKH4UNqzv6uT7TWitp8QHExBoFt3cTqrPBLGFq</t>
        </is>
      </c>
      <c r="C36" s="2" t="inlineStr">
        <is>
          <t>axiom</t>
        </is>
      </c>
      <c r="E36" s="8" t="n">
        <v>4040.3</v>
      </c>
      <c r="F36" s="8" t="n">
        <v>0</v>
      </c>
      <c r="G36" s="8" t="n">
        <v>4040.3</v>
      </c>
      <c r="H36" s="2" t="n">
        <v>5125.89</v>
      </c>
      <c r="I36" s="8" t="n">
        <v>78.81999999999999</v>
      </c>
      <c r="J36" s="8" t="n">
        <v>4119.12</v>
      </c>
      <c r="K36" s="2" t="n">
        <v>2</v>
      </c>
      <c r="L36" s="2" t="n">
        <v>5</v>
      </c>
      <c r="M36" s="2" t="inlineStr">
        <is>
          <t>2026-09-17T19:14:32Z</t>
        </is>
      </c>
      <c r="N36" s="2" t="inlineStr">
        <is>
          <t>2026-09-17T19:43:35Z</t>
        </is>
      </c>
      <c r="O36" s="2" t="n">
        <v>1742</v>
      </c>
      <c r="P36" s="2" t="n">
        <v>0</v>
      </c>
      <c r="Q36" s="8" t="n">
        <v>0</v>
      </c>
      <c r="R36" s="8" t="n">
        <v>10921.44</v>
      </c>
      <c r="S36" s="2" t="n">
        <v>678</v>
      </c>
      <c r="T36" s="2" t="n">
        <v>235</v>
      </c>
    </row>
    <row r="37">
      <c r="A37" s="2" t="n">
        <v>36</v>
      </c>
      <c r="B37" s="2" t="inlineStr">
        <is>
          <t>BnNMkMRhQmAd56KPN9141ULX9HhPmQrkSzYxr8CCPbyX</t>
        </is>
      </c>
      <c r="C37" s="2" t="inlineStr">
        <is>
          <t>axiom;pumpfun-app</t>
        </is>
      </c>
      <c r="D37" s="2" t="inlineStr">
        <is>
          <t>flatkraken21075</t>
        </is>
      </c>
      <c r="E37" s="8" t="n">
        <v>4033.66</v>
      </c>
      <c r="F37" s="8" t="n">
        <v>0</v>
      </c>
      <c r="G37" s="8" t="n">
        <v>4033.66</v>
      </c>
      <c r="H37" s="2" t="n">
        <v>280.83</v>
      </c>
      <c r="I37" s="8" t="n">
        <v>1436.32</v>
      </c>
      <c r="J37" s="8" t="n">
        <v>5469.97</v>
      </c>
      <c r="K37" s="2" t="n">
        <v>8</v>
      </c>
      <c r="L37" s="2" t="n">
        <v>14</v>
      </c>
      <c r="M37" s="2" t="inlineStr">
        <is>
          <t>2026-09-17T19:15:05Z</t>
        </is>
      </c>
      <c r="N37" s="2" t="inlineStr">
        <is>
          <t>2026-09-18T17:08:08Z</t>
        </is>
      </c>
      <c r="O37" s="2" t="n">
        <v>78783</v>
      </c>
      <c r="P37" s="2" t="n">
        <v>0</v>
      </c>
      <c r="Q37" s="8" t="n">
        <v>0</v>
      </c>
      <c r="R37" s="8" t="n">
        <v>116526.73</v>
      </c>
      <c r="S37" s="2" t="n">
        <v>23820</v>
      </c>
      <c r="T37" s="2" t="n">
        <v>5154</v>
      </c>
    </row>
    <row r="38">
      <c r="A38" s="2" t="n">
        <v>37</v>
      </c>
      <c r="B38" s="2" t="inlineStr">
        <is>
          <t>Bp95jUJaBUc4ZQ2c5c2V6YMf1FEDDUMKRCXdkYBvoTXx</t>
        </is>
      </c>
      <c r="C38" s="2" t="inlineStr">
        <is>
          <t>gmgn;axiom</t>
        </is>
      </c>
      <c r="E38" s="8" t="n">
        <v>3977.37</v>
      </c>
      <c r="F38" s="8" t="n">
        <v>0</v>
      </c>
      <c r="G38" s="8" t="n">
        <v>3977.37</v>
      </c>
      <c r="H38" s="2" t="n">
        <v>706.72</v>
      </c>
      <c r="I38" s="8" t="n">
        <v>562.79</v>
      </c>
      <c r="J38" s="8" t="n">
        <v>4540.17</v>
      </c>
      <c r="K38" s="2" t="n">
        <v>4</v>
      </c>
      <c r="L38" s="2" t="n">
        <v>16</v>
      </c>
      <c r="M38" s="2" t="inlineStr">
        <is>
          <t>2026-09-17T19:17:12Z</t>
        </is>
      </c>
      <c r="N38" s="2" t="inlineStr">
        <is>
          <t>2026-09-17T19:24:00Z</t>
        </is>
      </c>
      <c r="O38" s="2" t="n">
        <v>408</v>
      </c>
      <c r="P38" s="2" t="n">
        <v>0</v>
      </c>
      <c r="Q38" s="8" t="n">
        <v>0</v>
      </c>
      <c r="R38" s="8" t="n">
        <v>40107.96</v>
      </c>
      <c r="S38" s="2" t="n">
        <v>6631</v>
      </c>
      <c r="T38" s="2" t="n">
        <v>681</v>
      </c>
    </row>
    <row r="39">
      <c r="A39" s="2" t="n">
        <v>38</v>
      </c>
      <c r="B39" s="2" t="inlineStr">
        <is>
          <t>fagtUj7V7wKxSo2Jjc1NfcBexwnygGYbTYgN9eNXx8X</t>
        </is>
      </c>
      <c r="C39" s="2" t="inlineStr">
        <is>
          <t>terminal;axiom</t>
        </is>
      </c>
      <c r="E39" s="8" t="n">
        <v>3942.66</v>
      </c>
      <c r="F39" s="8" t="n">
        <v>0</v>
      </c>
      <c r="G39" s="8" t="n">
        <v>3942.66</v>
      </c>
      <c r="H39" s="2" t="n">
        <v>548.55</v>
      </c>
      <c r="I39" s="8" t="n">
        <v>718.75</v>
      </c>
      <c r="J39" s="8" t="n">
        <v>4661.41</v>
      </c>
      <c r="K39" s="2" t="n">
        <v>14</v>
      </c>
      <c r="L39" s="2" t="n">
        <v>66</v>
      </c>
      <c r="M39" s="2" t="inlineStr">
        <is>
          <t>2026-09-17T19:17:21Z</t>
        </is>
      </c>
      <c r="N39" s="2" t="inlineStr">
        <is>
          <t>2026-09-17T19:28:49Z</t>
        </is>
      </c>
      <c r="O39" s="2" t="n">
        <v>688</v>
      </c>
      <c r="P39" s="2" t="n">
        <v>0</v>
      </c>
      <c r="Q39" s="8" t="n">
        <v>0</v>
      </c>
      <c r="R39" s="8" t="n">
        <v>6712.5</v>
      </c>
      <c r="S39" s="2" t="n">
        <v>2682</v>
      </c>
      <c r="T39" s="2" t="n">
        <v>429</v>
      </c>
    </row>
    <row r="40">
      <c r="A40" s="2" t="n">
        <v>39</v>
      </c>
      <c r="B40" s="2" t="inlineStr">
        <is>
          <t>BUkTdidtehRJ6YvKDErxcFaoEGTVTEtKHedePgE6Pq4z</t>
        </is>
      </c>
      <c r="C40" s="2" t="inlineStr">
        <is>
          <t>gmgn;axiom</t>
        </is>
      </c>
      <c r="E40" s="8" t="n">
        <v>3888.33</v>
      </c>
      <c r="F40" s="8" t="n">
        <v>0</v>
      </c>
      <c r="G40" s="8" t="n">
        <v>3888.33</v>
      </c>
      <c r="H40" s="2" t="n">
        <v>613.1799999999999</v>
      </c>
      <c r="I40" s="8" t="n">
        <v>634.12</v>
      </c>
      <c r="J40" s="8" t="n">
        <v>4522.45</v>
      </c>
      <c r="K40" s="2" t="n">
        <v>4</v>
      </c>
      <c r="L40" s="2" t="n">
        <v>16</v>
      </c>
      <c r="M40" s="2" t="inlineStr">
        <is>
          <t>2026-09-17T19:17:12Z</t>
        </is>
      </c>
      <c r="N40" s="2" t="inlineStr">
        <is>
          <t>2026-09-17T19:23:26Z</t>
        </is>
      </c>
      <c r="O40" s="2" t="n">
        <v>374</v>
      </c>
      <c r="P40" s="2" t="n">
        <v>0</v>
      </c>
      <c r="Q40" s="8" t="n">
        <v>0</v>
      </c>
      <c r="R40" s="8" t="n">
        <v>38621.3</v>
      </c>
      <c r="S40" s="2" t="n">
        <v>6638</v>
      </c>
      <c r="T40" s="2" t="n">
        <v>678</v>
      </c>
    </row>
    <row r="41">
      <c r="A41" s="2" t="n">
        <v>40</v>
      </c>
      <c r="B41" s="2" t="inlineStr">
        <is>
          <t>HaJHNvK7htkYMmzFvHSoJBcE9ZPz46MpF5hQSpbTEsoD</t>
        </is>
      </c>
      <c r="C41" s="2" t="inlineStr">
        <is>
          <t>fomo</t>
        </is>
      </c>
      <c r="E41" s="8" t="n">
        <v>3814.93</v>
      </c>
      <c r="F41" s="8" t="n">
        <v>0</v>
      </c>
      <c r="G41" s="8" t="n">
        <v>3814.93</v>
      </c>
      <c r="H41" s="2" t="n">
        <v>117.37</v>
      </c>
      <c r="I41" s="8" t="n">
        <v>3250.38</v>
      </c>
      <c r="J41" s="8" t="n">
        <v>7065.32</v>
      </c>
      <c r="K41" s="2" t="n">
        <v>5</v>
      </c>
      <c r="L41" s="2" t="n">
        <v>4</v>
      </c>
      <c r="M41" s="2" t="inlineStr">
        <is>
          <t>2026-09-17T19:24:29Z</t>
        </is>
      </c>
      <c r="N41" s="2" t="inlineStr">
        <is>
          <t>2026-09-18T02:21:09Z</t>
        </is>
      </c>
      <c r="O41" s="2" t="n">
        <v>2375370</v>
      </c>
      <c r="P41" s="2" t="n">
        <v>3.49246e-10</v>
      </c>
      <c r="Q41" s="8" t="n">
        <v>0</v>
      </c>
      <c r="R41" s="8" t="n">
        <v>-22044.89</v>
      </c>
      <c r="S41" s="2" t="n">
        <v>844</v>
      </c>
      <c r="T41" s="2" t="n">
        <v>261</v>
      </c>
    </row>
    <row r="42">
      <c r="A42" s="2" t="n">
        <v>41</v>
      </c>
      <c r="B42" s="2" t="inlineStr">
        <is>
          <t>8NVkytV1CtoNBXGFtwXwh4KQdbgVcA6hFmym1gMuRHru</t>
        </is>
      </c>
      <c r="C42" s="2" t="inlineStr">
        <is>
          <t>terminal;axiom</t>
        </is>
      </c>
      <c r="E42" s="8" t="n">
        <v>3786.37</v>
      </c>
      <c r="F42" s="8" t="n">
        <v>0</v>
      </c>
      <c r="G42" s="8" t="n">
        <v>3786.37</v>
      </c>
      <c r="H42" s="2" t="n">
        <v>673.48</v>
      </c>
      <c r="I42" s="8" t="n">
        <v>562.21</v>
      </c>
      <c r="J42" s="8" t="n">
        <v>4348.58</v>
      </c>
      <c r="K42" s="2" t="n">
        <v>1</v>
      </c>
      <c r="L42" s="2" t="n">
        <v>40</v>
      </c>
      <c r="M42" s="2" t="inlineStr">
        <is>
          <t>2026-09-17T19:17:22Z</t>
        </is>
      </c>
      <c r="N42" s="2" t="inlineStr">
        <is>
          <t>2026-09-17T19:48:38Z</t>
        </is>
      </c>
      <c r="O42" s="2" t="n">
        <v>2375796</v>
      </c>
      <c r="P42" s="2" t="n">
        <v>4.65661e-10</v>
      </c>
      <c r="Q42" s="8" t="n">
        <v>0</v>
      </c>
      <c r="R42" s="8" t="n">
        <v>1606577.28</v>
      </c>
      <c r="S42" s="2" t="n">
        <v>123438</v>
      </c>
      <c r="T42" s="2" t="n">
        <v>29116</v>
      </c>
    </row>
    <row r="43">
      <c r="A43" s="2" t="n">
        <v>42</v>
      </c>
      <c r="B43" s="2" t="inlineStr">
        <is>
          <t>F5vgPDmbuBDUuBtVtgCvKQV3FYjj9XESVMWhQopv8wiu</t>
        </is>
      </c>
      <c r="C43" s="2" t="inlineStr">
        <is>
          <t>gmgn;axiom</t>
        </is>
      </c>
      <c r="E43" s="8" t="n">
        <v>3780.52</v>
      </c>
      <c r="F43" s="8" t="n">
        <v>0</v>
      </c>
      <c r="G43" s="8" t="n">
        <v>3780.52</v>
      </c>
      <c r="H43" s="2" t="n">
        <v>724.09</v>
      </c>
      <c r="I43" s="8" t="n">
        <v>522.11</v>
      </c>
      <c r="J43" s="8" t="n">
        <v>4302.63</v>
      </c>
      <c r="K43" s="2" t="n">
        <v>4</v>
      </c>
      <c r="L43" s="2" t="n">
        <v>15</v>
      </c>
      <c r="M43" s="2" t="inlineStr">
        <is>
          <t>2026-09-17T19:17:12Z</t>
        </is>
      </c>
      <c r="N43" s="2" t="inlineStr">
        <is>
          <t>2026-09-17T19:23:23Z</t>
        </is>
      </c>
      <c r="O43" s="2" t="n">
        <v>371</v>
      </c>
      <c r="P43" s="2" t="n">
        <v>0</v>
      </c>
      <c r="Q43" s="8" t="n">
        <v>0</v>
      </c>
      <c r="R43" s="8" t="n">
        <v>37143.39</v>
      </c>
      <c r="S43" s="2" t="n">
        <v>7061</v>
      </c>
      <c r="T43" s="2" t="n">
        <v>721</v>
      </c>
    </row>
    <row r="44">
      <c r="A44" s="2" t="n">
        <v>43</v>
      </c>
      <c r="B44" s="2" t="inlineStr">
        <is>
          <t>HTj39cpttcxAZJgG2BbubFxZ3UVKtTN2X2Yjwj4zBB3n</t>
        </is>
      </c>
      <c r="C44" s="2" t="inlineStr">
        <is>
          <t>potential_bot</t>
        </is>
      </c>
      <c r="E44" s="8" t="n">
        <v>3779.71</v>
      </c>
      <c r="F44" s="8" t="n">
        <v>0</v>
      </c>
      <c r="G44" s="8" t="n">
        <v>3779.71</v>
      </c>
      <c r="H44" s="2" t="n">
        <v>0</v>
      </c>
      <c r="I44" s="8" t="n">
        <v>0</v>
      </c>
      <c r="J44" s="8" t="n">
        <v>3779.71</v>
      </c>
      <c r="K44" s="2" t="n">
        <v>0</v>
      </c>
      <c r="L44" s="2" t="n">
        <v>1</v>
      </c>
      <c r="M44" s="2" t="inlineStr">
        <is>
          <t>2026-09-17T19:46:56Z</t>
        </is>
      </c>
      <c r="N44" s="2" t="inlineStr">
        <is>
          <t>2026-09-17T19:46:56Z</t>
        </is>
      </c>
      <c r="P44" s="2" t="n">
        <v>0</v>
      </c>
      <c r="Q44" s="8" t="n">
        <v>0</v>
      </c>
      <c r="R44" s="8" t="n">
        <v>392255.5</v>
      </c>
      <c r="S44" s="2" t="n">
        <v>794</v>
      </c>
      <c r="T44" s="2" t="n">
        <v>228</v>
      </c>
    </row>
    <row r="45">
      <c r="A45" s="2" t="n">
        <v>44</v>
      </c>
      <c r="B45" s="2" t="inlineStr">
        <is>
          <t>Czhmsewv9eM86H7B8a2RQH4J5Du2em5sei6qpBwBg6oX</t>
        </is>
      </c>
      <c r="C45" s="2" t="inlineStr">
        <is>
          <t>terminal;axiom</t>
        </is>
      </c>
      <c r="E45" s="8" t="n">
        <v>3748.9</v>
      </c>
      <c r="F45" s="8" t="n">
        <v>0</v>
      </c>
      <c r="G45" s="8" t="n">
        <v>3748.9</v>
      </c>
      <c r="H45" s="2" t="n">
        <v>571.52</v>
      </c>
      <c r="I45" s="8" t="n">
        <v>655.95</v>
      </c>
      <c r="J45" s="8" t="n">
        <v>4404.86</v>
      </c>
      <c r="K45" s="2" t="n">
        <v>14</v>
      </c>
      <c r="L45" s="2" t="n">
        <v>66</v>
      </c>
      <c r="M45" s="2" t="inlineStr">
        <is>
          <t>2026-09-17T19:17:21Z</t>
        </is>
      </c>
      <c r="N45" s="2" t="inlineStr">
        <is>
          <t>2026-09-17T19:28:49Z</t>
        </is>
      </c>
      <c r="O45" s="2" t="n">
        <v>688</v>
      </c>
      <c r="P45" s="2" t="n">
        <v>0</v>
      </c>
      <c r="Q45" s="8" t="n">
        <v>0</v>
      </c>
      <c r="R45" s="8" t="n">
        <v>3768.47</v>
      </c>
      <c r="S45" s="2" t="n">
        <v>2299</v>
      </c>
      <c r="T45" s="2" t="n">
        <v>411</v>
      </c>
    </row>
    <row r="46">
      <c r="A46" s="2" t="n">
        <v>45</v>
      </c>
      <c r="B46" s="2" t="inlineStr">
        <is>
          <t>619F3XLsNzUp6FoP7AM5bkWvz8FcpgWxwXz9QWEvuxeS</t>
        </is>
      </c>
      <c r="C46" s="2" t="inlineStr">
        <is>
          <t>bloom</t>
        </is>
      </c>
      <c r="E46" s="8" t="n">
        <v>3604.48</v>
      </c>
      <c r="F46" s="8" t="n">
        <v>0</v>
      </c>
      <c r="G46" s="8" t="n">
        <v>3604.48</v>
      </c>
      <c r="H46" s="2" t="n">
        <v>105.61</v>
      </c>
      <c r="I46" s="8" t="n">
        <v>3412.89</v>
      </c>
      <c r="J46" s="8" t="n">
        <v>7017.37</v>
      </c>
      <c r="K46" s="2" t="n">
        <v>2</v>
      </c>
      <c r="L46" s="2" t="n">
        <v>6</v>
      </c>
      <c r="M46" s="2" t="inlineStr">
        <is>
          <t>2026-09-26T00:20:49Z</t>
        </is>
      </c>
      <c r="N46" s="2" t="inlineStr">
        <is>
          <t>2026-09-26T04:30:44Z</t>
        </is>
      </c>
      <c r="O46" s="2" t="n">
        <v>14994</v>
      </c>
      <c r="P46" s="2" t="n">
        <v>0</v>
      </c>
      <c r="Q46" s="8" t="n">
        <v>0</v>
      </c>
      <c r="R46" s="8" t="n">
        <v>74106.31</v>
      </c>
      <c r="S46" s="2" t="n">
        <v>744</v>
      </c>
      <c r="T46" s="2" t="n">
        <v>151</v>
      </c>
    </row>
    <row r="47">
      <c r="A47" s="2" t="n">
        <v>46</v>
      </c>
      <c r="B47" s="2" t="inlineStr">
        <is>
          <t>3LssL9Q9L8rTa5vnT8YUorukVxLP7nPawt4gcBywMeDN</t>
        </is>
      </c>
      <c r="C47" s="2" t="inlineStr">
        <is>
          <t>axiom</t>
        </is>
      </c>
      <c r="E47" s="8" t="n">
        <v>3477.93</v>
      </c>
      <c r="F47" s="8" t="n">
        <v>0</v>
      </c>
      <c r="G47" s="8" t="n">
        <v>3477.93</v>
      </c>
      <c r="H47" s="2" t="n">
        <v>202.5</v>
      </c>
      <c r="I47" s="8" t="n">
        <v>1717.49</v>
      </c>
      <c r="J47" s="8" t="n">
        <v>5195.42</v>
      </c>
      <c r="K47" s="2" t="n">
        <v>2</v>
      </c>
      <c r="L47" s="2" t="n">
        <v>13</v>
      </c>
      <c r="M47" s="2" t="inlineStr">
        <is>
          <t>2026-09-18T21:58:02Z</t>
        </is>
      </c>
      <c r="N47" s="2" t="inlineStr">
        <is>
          <t>2026-09-18T23:44:40Z</t>
        </is>
      </c>
      <c r="O47" s="2" t="n">
        <v>6399</v>
      </c>
      <c r="P47" s="2" t="n">
        <v>0</v>
      </c>
      <c r="Q47" s="8" t="n">
        <v>0</v>
      </c>
      <c r="R47" s="8" t="n">
        <v>2044.69</v>
      </c>
      <c r="S47" s="2" t="n">
        <v>98</v>
      </c>
      <c r="T47" s="2" t="n">
        <v>22</v>
      </c>
    </row>
    <row r="48">
      <c r="A48" s="2" t="n">
        <v>47</v>
      </c>
      <c r="B48" s="2" t="inlineStr">
        <is>
          <t>5cytp5CRc34XfbFFfoBafFRdxmAUjERgrqqfKJiy2cF5</t>
        </is>
      </c>
      <c r="C48" s="2" t="inlineStr">
        <is>
          <t>gmgn;axiom</t>
        </is>
      </c>
      <c r="E48" s="8" t="n">
        <v>3451</v>
      </c>
      <c r="F48" s="8" t="n">
        <v>0</v>
      </c>
      <c r="G48" s="8" t="n">
        <v>3451</v>
      </c>
      <c r="H48" s="2" t="n">
        <v>605.74</v>
      </c>
      <c r="I48" s="8" t="n">
        <v>569.72</v>
      </c>
      <c r="J48" s="8" t="n">
        <v>4020.72</v>
      </c>
      <c r="K48" s="2" t="n">
        <v>4</v>
      </c>
      <c r="L48" s="2" t="n">
        <v>31</v>
      </c>
      <c r="M48" s="2" t="inlineStr">
        <is>
          <t>2026-09-17T19:17:12Z</t>
        </is>
      </c>
      <c r="N48" s="2" t="inlineStr">
        <is>
          <t>2026-09-17T19:23:08Z</t>
        </is>
      </c>
      <c r="O48" s="2" t="n">
        <v>356</v>
      </c>
      <c r="P48" s="2" t="n">
        <v>0</v>
      </c>
      <c r="Q48" s="8" t="n">
        <v>0</v>
      </c>
      <c r="R48" s="8" t="n">
        <v>49252.75</v>
      </c>
      <c r="S48" s="2" t="n">
        <v>7869</v>
      </c>
      <c r="T48" s="2" t="n">
        <v>757</v>
      </c>
    </row>
    <row r="49">
      <c r="A49" s="2" t="n">
        <v>48</v>
      </c>
      <c r="B49" s="2" t="inlineStr">
        <is>
          <t>4ktUkQzKZBTFVLtMdRB8adLZzmxXRBHxDwzXUpS4D3nd</t>
        </is>
      </c>
      <c r="E49" s="8" t="n">
        <v>3377.95</v>
      </c>
      <c r="F49" s="8" t="n">
        <v>0</v>
      </c>
      <c r="G49" s="8" t="n">
        <v>3377.95</v>
      </c>
      <c r="H49" s="2" t="n">
        <v>0</v>
      </c>
      <c r="I49" s="8" t="n">
        <v>0</v>
      </c>
      <c r="J49" s="8" t="n">
        <v>3377.95</v>
      </c>
      <c r="K49" s="2" t="n">
        <v>0</v>
      </c>
      <c r="L49" s="2" t="n">
        <v>7</v>
      </c>
      <c r="M49" s="2" t="inlineStr">
        <is>
          <t>2026-09-26T04:21:57Z</t>
        </is>
      </c>
      <c r="N49" s="2" t="inlineStr">
        <is>
          <t>2026-09-28T19:22:14Z</t>
        </is>
      </c>
      <c r="P49" s="2" t="n">
        <v>0</v>
      </c>
      <c r="Q49" s="8" t="n">
        <v>0</v>
      </c>
      <c r="R49" s="8" t="n">
        <v>23263.24</v>
      </c>
      <c r="S49" s="2" t="n">
        <v>549</v>
      </c>
      <c r="T49" s="2" t="n">
        <v>107</v>
      </c>
    </row>
    <row r="50">
      <c r="A50" s="2" t="n">
        <v>49</v>
      </c>
      <c r="B50" s="2" t="inlineStr">
        <is>
          <t>B5iWGT3Vuv3bpXpA1khPiMUcEjXQytTTrvCrE6vfDuHY</t>
        </is>
      </c>
      <c r="E50" s="8" t="n">
        <v>3356.11</v>
      </c>
      <c r="F50" s="8" t="n">
        <v>0</v>
      </c>
      <c r="G50" s="8" t="n">
        <v>3356.11</v>
      </c>
      <c r="H50" s="2" t="n">
        <v>52.48</v>
      </c>
      <c r="I50" s="8" t="n">
        <v>6395.5</v>
      </c>
      <c r="J50" s="8" t="n">
        <v>9751.610000000001</v>
      </c>
      <c r="K50" s="2" t="n">
        <v>22</v>
      </c>
      <c r="L50" s="2" t="n">
        <v>3</v>
      </c>
      <c r="M50" s="2" t="inlineStr">
        <is>
          <t>2026-09-17T19:23:07Z</t>
        </is>
      </c>
      <c r="N50" s="2" t="inlineStr">
        <is>
          <t>2026-09-18T00:58:40Z</t>
        </is>
      </c>
      <c r="O50" s="2" t="n">
        <v>20134</v>
      </c>
      <c r="P50" s="2" t="n">
        <v>0</v>
      </c>
      <c r="Q50" s="8" t="n">
        <v>0</v>
      </c>
      <c r="R50" s="8" t="n">
        <v>-28386.13</v>
      </c>
      <c r="S50" s="2" t="n">
        <v>3365</v>
      </c>
      <c r="T50" s="2" t="n">
        <v>913</v>
      </c>
    </row>
    <row r="51">
      <c r="A51" s="2" t="n">
        <v>50</v>
      </c>
      <c r="B51" s="2" t="inlineStr">
        <is>
          <t>5nZVAuxrdBze1QXf6RLNPhXfwEfAiVLyvvVgHHBJ7Yn6</t>
        </is>
      </c>
      <c r="C51" s="2" t="inlineStr">
        <is>
          <t>potential_bot</t>
        </is>
      </c>
      <c r="E51" s="8" t="n">
        <v>3338.94</v>
      </c>
      <c r="F51" s="8" t="n">
        <v>0</v>
      </c>
      <c r="G51" s="8" t="n">
        <v>3338.94</v>
      </c>
      <c r="H51" s="2" t="n">
        <v>0</v>
      </c>
      <c r="I51" s="8" t="n">
        <v>0</v>
      </c>
      <c r="J51" s="8" t="n">
        <v>3338.94</v>
      </c>
      <c r="K51" s="2" t="n">
        <v>0</v>
      </c>
      <c r="L51" s="2" t="n">
        <v>2</v>
      </c>
      <c r="M51" s="2" t="inlineStr">
        <is>
          <t>2026-09-17T21:02:10Z</t>
        </is>
      </c>
      <c r="N51" s="2" t="inlineStr">
        <is>
          <t>2026-09-18T00:34:26Z</t>
        </is>
      </c>
      <c r="P51" s="2" t="n">
        <v>0</v>
      </c>
      <c r="Q51" s="8" t="n">
        <v>0</v>
      </c>
      <c r="R51" s="8" t="n">
        <v>687637.22</v>
      </c>
      <c r="S51" s="2" t="n">
        <v>5191</v>
      </c>
      <c r="T51" s="2" t="n">
        <v>1006</v>
      </c>
    </row>
    <row r="52">
      <c r="A52" s="2" t="n">
        <v>51</v>
      </c>
      <c r="B52" s="2" t="inlineStr">
        <is>
          <t>7wKdqDS6Qpv4PLf2iFdbeCVoUwQmBfJcnHQAvS34Q9cM</t>
        </is>
      </c>
      <c r="C52" s="2" t="inlineStr">
        <is>
          <t>terminal;axiom</t>
        </is>
      </c>
      <c r="E52" s="8" t="n">
        <v>3268.73</v>
      </c>
      <c r="F52" s="8" t="n">
        <v>0</v>
      </c>
      <c r="G52" s="8" t="n">
        <v>3268.73</v>
      </c>
      <c r="H52" s="2" t="n">
        <v>523.85</v>
      </c>
      <c r="I52" s="8" t="n">
        <v>623.98</v>
      </c>
      <c r="J52" s="8" t="n">
        <v>3892.71</v>
      </c>
      <c r="K52" s="2" t="n">
        <v>14</v>
      </c>
      <c r="L52" s="2" t="n">
        <v>66</v>
      </c>
      <c r="M52" s="2" t="inlineStr">
        <is>
          <t>2026-09-17T19:17:21Z</t>
        </is>
      </c>
      <c r="N52" s="2" t="inlineStr">
        <is>
          <t>2026-09-17T19:28:49Z</t>
        </is>
      </c>
      <c r="O52" s="2" t="n">
        <v>688</v>
      </c>
      <c r="P52" s="2" t="n">
        <v>0</v>
      </c>
      <c r="Q52" s="8" t="n">
        <v>0</v>
      </c>
      <c r="R52" s="8" t="n">
        <v>1053.23</v>
      </c>
      <c r="S52" s="2" t="n">
        <v>2467</v>
      </c>
      <c r="T52" s="2" t="n">
        <v>420</v>
      </c>
    </row>
    <row r="53">
      <c r="A53" s="2" t="n">
        <v>52</v>
      </c>
      <c r="B53" s="2" t="inlineStr">
        <is>
          <t>FgoAHx7wegW7iRMP5TotV7RJcjamxAG38puczxKubjZo</t>
        </is>
      </c>
      <c r="E53" s="8" t="n">
        <v>3200.24</v>
      </c>
      <c r="F53" s="8" t="n">
        <v>0</v>
      </c>
      <c r="G53" s="8" t="n">
        <v>3200.24</v>
      </c>
      <c r="H53" s="2" t="n">
        <v>41.52</v>
      </c>
      <c r="I53" s="8" t="n">
        <v>7707.86</v>
      </c>
      <c r="J53" s="8" t="n">
        <v>10908.1</v>
      </c>
      <c r="K53" s="2" t="n">
        <v>10</v>
      </c>
      <c r="L53" s="2" t="n">
        <v>38</v>
      </c>
      <c r="M53" s="2" t="inlineStr">
        <is>
          <t>2026-09-17T19:23:07Z</t>
        </is>
      </c>
      <c r="N53" s="2" t="inlineStr">
        <is>
          <t>2026-09-17T20:05:29Z</t>
        </is>
      </c>
      <c r="O53" s="2" t="n">
        <v>2375452</v>
      </c>
      <c r="P53" s="2" t="n">
        <v>1.629815e-09</v>
      </c>
      <c r="Q53" s="8" t="n">
        <v>0</v>
      </c>
      <c r="R53" s="8" t="n">
        <v>-4469.42</v>
      </c>
      <c r="S53" s="2" t="n">
        <v>218</v>
      </c>
      <c r="T53" s="2" t="n">
        <v>30</v>
      </c>
    </row>
    <row r="54">
      <c r="A54" s="2" t="n">
        <v>53</v>
      </c>
      <c r="B54" s="2" t="inlineStr">
        <is>
          <t>6sEjKGnzcDXZeTa1eHZf59HRZ5E3vNy8xbQhSSA6M7mL</t>
        </is>
      </c>
      <c r="C54" s="2" t="inlineStr">
        <is>
          <t>fomo</t>
        </is>
      </c>
      <c r="D54" s="2" t="inlineStr">
        <is>
          <t>sahrawi</t>
        </is>
      </c>
      <c r="E54" s="8" t="n">
        <v>3164.51</v>
      </c>
      <c r="F54" s="8" t="n">
        <v>0</v>
      </c>
      <c r="G54" s="8" t="n">
        <v>3164.51</v>
      </c>
      <c r="H54" s="2" t="n">
        <v>126.69</v>
      </c>
      <c r="I54" s="8" t="n">
        <v>2497.76</v>
      </c>
      <c r="J54" s="8" t="n">
        <v>5662.27</v>
      </c>
      <c r="K54" s="2" t="n">
        <v>5</v>
      </c>
      <c r="L54" s="2" t="n">
        <v>5</v>
      </c>
      <c r="M54" s="2" t="inlineStr">
        <is>
          <t>2026-09-25T09:12:29Z</t>
        </is>
      </c>
      <c r="N54" s="2" t="inlineStr">
        <is>
          <t>2026-09-26T02:20:58Z</t>
        </is>
      </c>
      <c r="O54" s="2" t="n">
        <v>61709</v>
      </c>
      <c r="P54" s="2" t="n">
        <v>0</v>
      </c>
      <c r="Q54" s="8" t="n">
        <v>0</v>
      </c>
      <c r="R54" s="8" t="n">
        <v>49529.75</v>
      </c>
      <c r="S54" s="2" t="n">
        <v>1412</v>
      </c>
      <c r="T54" s="2" t="n">
        <v>234</v>
      </c>
    </row>
    <row r="55">
      <c r="A55" s="2" t="n">
        <v>54</v>
      </c>
      <c r="B55" s="2" t="inlineStr">
        <is>
          <t>ESdowVD6fznGk3ydgBmkuvqH9NCC2EJhZpGhwaMNtmLv</t>
        </is>
      </c>
      <c r="E55" s="8" t="n">
        <v>3119.88</v>
      </c>
      <c r="F55" s="8" t="n">
        <v>0</v>
      </c>
      <c r="G55" s="8" t="n">
        <v>3119.88</v>
      </c>
      <c r="H55" s="2" t="n">
        <v>1039.96</v>
      </c>
      <c r="I55" s="8" t="n">
        <v>300</v>
      </c>
      <c r="J55" s="8" t="n">
        <v>3419.88</v>
      </c>
      <c r="K55" s="2" t="n">
        <v>1</v>
      </c>
      <c r="L55" s="2" t="n">
        <v>4</v>
      </c>
      <c r="M55" s="2" t="inlineStr">
        <is>
          <t>2026-09-24T20:58:18Z</t>
        </is>
      </c>
      <c r="N55" s="2" t="inlineStr">
        <is>
          <t>2026-09-28T22:56:04Z</t>
        </is>
      </c>
      <c r="O55" s="2" t="n">
        <v>352666</v>
      </c>
      <c r="P55" s="2" t="n">
        <v>0</v>
      </c>
      <c r="Q55" s="8" t="n">
        <v>0</v>
      </c>
      <c r="R55" s="8" t="n">
        <v>14994.39</v>
      </c>
      <c r="S55" s="2" t="n">
        <v>654</v>
      </c>
      <c r="T55" s="2" t="n">
        <v>164</v>
      </c>
    </row>
    <row r="56">
      <c r="A56" s="2" t="n">
        <v>55</v>
      </c>
      <c r="B56" s="2" t="inlineStr">
        <is>
          <t>ArrTLvxSmeBwcNomrRhsgikg9pfuUPvwdP4VDPfFSWr4</t>
        </is>
      </c>
      <c r="C56" s="2" t="inlineStr">
        <is>
          <t>fomo</t>
        </is>
      </c>
      <c r="D56" s="2" t="inlineStr">
        <is>
          <t>MajorFaint</t>
        </is>
      </c>
      <c r="E56" s="8" t="n">
        <v>3051.89</v>
      </c>
      <c r="F56" s="8" t="n">
        <v>0</v>
      </c>
      <c r="G56" s="8" t="n">
        <v>3051.89</v>
      </c>
      <c r="H56" s="2" t="n">
        <v>381.84</v>
      </c>
      <c r="I56" s="8" t="n">
        <v>799.25</v>
      </c>
      <c r="J56" s="8" t="n">
        <v>3851.15</v>
      </c>
      <c r="K56" s="2" t="n">
        <v>3</v>
      </c>
      <c r="L56" s="2" t="n">
        <v>10</v>
      </c>
      <c r="M56" s="2" t="inlineStr">
        <is>
          <t>2026-09-17T19:14:27Z</t>
        </is>
      </c>
      <c r="N56" s="2" t="inlineStr">
        <is>
          <t>2026-09-17T19:26:27Z</t>
        </is>
      </c>
      <c r="O56" s="2" t="n">
        <v>721</v>
      </c>
      <c r="P56" s="2" t="n">
        <v>0</v>
      </c>
      <c r="Q56" s="8" t="n">
        <v>0</v>
      </c>
      <c r="R56" s="8" t="n">
        <v>47269.28</v>
      </c>
      <c r="S56" s="2" t="n">
        <v>7245</v>
      </c>
      <c r="T56" s="2" t="n">
        <v>1606</v>
      </c>
    </row>
    <row r="57">
      <c r="A57" s="2" t="n">
        <v>56</v>
      </c>
      <c r="B57" s="2" t="inlineStr">
        <is>
          <t>5aFK5vMMFCqfRyvx9E2YeZpcDiooE9iDzWACs9k7W2Ef</t>
        </is>
      </c>
      <c r="C57" s="2" t="inlineStr">
        <is>
          <t>fomo</t>
        </is>
      </c>
      <c r="D57" s="2" t="inlineStr">
        <is>
          <t>fоmο</t>
        </is>
      </c>
      <c r="E57" s="8" t="n">
        <v>3047.39</v>
      </c>
      <c r="F57" s="8" t="n">
        <v>-3770.32</v>
      </c>
      <c r="G57" s="8" t="n">
        <v>-722.9299999999999</v>
      </c>
      <c r="H57" s="2" t="n">
        <v>-5.75</v>
      </c>
      <c r="I57" s="8" t="n">
        <v>12582.53</v>
      </c>
      <c r="J57" s="8" t="n">
        <v>11699.55</v>
      </c>
      <c r="K57" s="2" t="n">
        <v>40</v>
      </c>
      <c r="L57" s="2" t="n">
        <v>7</v>
      </c>
      <c r="M57" s="2" t="inlineStr">
        <is>
          <t>2026-09-17T19:34:21Z</t>
        </is>
      </c>
      <c r="N57" s="2" t="inlineStr">
        <is>
          <t>2026-09-26T03:49:07Z</t>
        </is>
      </c>
      <c r="O57" s="2" t="n">
        <v>2374778</v>
      </c>
      <c r="P57" s="2" t="n">
        <v>4847586.703124</v>
      </c>
      <c r="Q57" s="8" t="n">
        <v>160.06</v>
      </c>
      <c r="R57" s="8" t="n">
        <v>12.99</v>
      </c>
      <c r="S57" s="2" t="n">
        <v>492</v>
      </c>
      <c r="T57" s="2" t="n">
        <v>92</v>
      </c>
    </row>
    <row r="58">
      <c r="A58" s="2" t="n">
        <v>57</v>
      </c>
      <c r="B58" s="2" t="inlineStr">
        <is>
          <t>AWd1poTNmbsWZJqyUE6juB57WsgmVUTpXAAPnnSJEsfY</t>
        </is>
      </c>
      <c r="C58" s="2" t="inlineStr">
        <is>
          <t>axiom;pumpfun-app;sns</t>
        </is>
      </c>
      <c r="D58" s="2" t="inlineStr">
        <is>
          <t>moooooodeng</t>
        </is>
      </c>
      <c r="E58" s="8" t="n">
        <v>3025.84</v>
      </c>
      <c r="F58" s="8" t="n">
        <v>0</v>
      </c>
      <c r="G58" s="8" t="n">
        <v>3025.84</v>
      </c>
      <c r="H58" s="2" t="n">
        <v>1535.13</v>
      </c>
      <c r="I58" s="8" t="n">
        <v>197.11</v>
      </c>
      <c r="J58" s="8" t="n">
        <v>3222.94</v>
      </c>
      <c r="K58" s="2" t="n">
        <v>1</v>
      </c>
      <c r="L58" s="2" t="n">
        <v>7</v>
      </c>
      <c r="M58" s="2" t="inlineStr">
        <is>
          <t>2026-09-17T19:13:00Z</t>
        </is>
      </c>
      <c r="N58" s="2" t="inlineStr">
        <is>
          <t>2026-09-17T19:29:45Z</t>
        </is>
      </c>
      <c r="O58" s="2" t="n">
        <v>1005</v>
      </c>
      <c r="P58" s="2" t="n">
        <v>0</v>
      </c>
      <c r="Q58" s="8" t="n">
        <v>0</v>
      </c>
      <c r="R58" s="8" t="n">
        <v>141433.89</v>
      </c>
      <c r="S58" s="2" t="n">
        <v>15112</v>
      </c>
      <c r="T58" s="2" t="n">
        <v>3192</v>
      </c>
    </row>
    <row r="59">
      <c r="A59" s="2" t="n">
        <v>58</v>
      </c>
      <c r="B59" s="2" t="inlineStr">
        <is>
          <t>3gHrfi6t4xG2KEH4gga9HxLRYqws9iTKdkLG55NwaTZJ</t>
        </is>
      </c>
      <c r="C59" s="2" t="inlineStr">
        <is>
          <t>gmgn;terminal;axiom;pumpfun-app</t>
        </is>
      </c>
      <c r="D59" s="2" t="inlineStr">
        <is>
          <t>SkarraOG</t>
        </is>
      </c>
      <c r="E59" s="8" t="n">
        <v>2916.09</v>
      </c>
      <c r="F59" s="8" t="n">
        <v>0</v>
      </c>
      <c r="G59" s="8" t="n">
        <v>2916.09</v>
      </c>
      <c r="H59" s="2" t="n">
        <v>195.57</v>
      </c>
      <c r="I59" s="8" t="n">
        <v>1491.04</v>
      </c>
      <c r="J59" s="8" t="n">
        <v>4407.13</v>
      </c>
      <c r="K59" s="2" t="n">
        <v>31</v>
      </c>
      <c r="L59" s="2" t="n">
        <v>16</v>
      </c>
      <c r="M59" s="2" t="inlineStr">
        <is>
          <t>2026-09-17T19:12:23Z</t>
        </is>
      </c>
      <c r="N59" s="2" t="inlineStr">
        <is>
          <t>2026-09-17T19:28:32Z</t>
        </is>
      </c>
      <c r="O59" s="2" t="n">
        <v>969</v>
      </c>
      <c r="P59" s="2" t="n">
        <v>0</v>
      </c>
      <c r="Q59" s="8" t="n">
        <v>0</v>
      </c>
      <c r="R59" s="8" t="n">
        <v>319162.67</v>
      </c>
      <c r="S59" s="2" t="n">
        <v>71674</v>
      </c>
      <c r="T59" s="2" t="n">
        <v>11867</v>
      </c>
    </row>
    <row r="60">
      <c r="A60" s="2" t="n">
        <v>59</v>
      </c>
      <c r="B60" s="2" t="inlineStr">
        <is>
          <t>CR8hKrAUBBwA5zudqx5cVxda2ivgJnCZdC5Z4ua4us5x</t>
        </is>
      </c>
      <c r="C60" s="2" t="inlineStr">
        <is>
          <t>axiom</t>
        </is>
      </c>
      <c r="E60" s="8" t="n">
        <v>2899.88</v>
      </c>
      <c r="F60" s="8" t="n">
        <v>0</v>
      </c>
      <c r="G60" s="8" t="n">
        <v>2899.88</v>
      </c>
      <c r="H60" s="2" t="n">
        <v>38.37</v>
      </c>
      <c r="I60" s="8" t="n">
        <v>7558.62</v>
      </c>
      <c r="J60" s="8" t="n">
        <v>10458.5</v>
      </c>
      <c r="K60" s="2" t="n">
        <v>12</v>
      </c>
      <c r="L60" s="2" t="n">
        <v>13</v>
      </c>
      <c r="M60" s="2" t="inlineStr">
        <is>
          <t>2026-09-17T19:30:34Z</t>
        </is>
      </c>
      <c r="N60" s="2" t="inlineStr">
        <is>
          <t>2026-09-18T02:52:00Z</t>
        </is>
      </c>
      <c r="O60" s="2" t="n">
        <v>2375004</v>
      </c>
      <c r="P60" s="2" t="n">
        <v>1.629815e-09</v>
      </c>
      <c r="Q60" s="8" t="n">
        <v>0</v>
      </c>
      <c r="R60" s="8" t="n">
        <v>-164259.46</v>
      </c>
      <c r="S60" s="2" t="n">
        <v>4082</v>
      </c>
      <c r="T60" s="2" t="n">
        <v>460</v>
      </c>
    </row>
    <row r="61">
      <c r="A61" s="2" t="n">
        <v>60</v>
      </c>
      <c r="B61" s="2" t="inlineStr">
        <is>
          <t>3VpLgxsEpYfXk3KDZpUBTC4k4idqmMBgTvemaeNzm8go</t>
        </is>
      </c>
      <c r="C61" s="2" t="inlineStr">
        <is>
          <t>axiom</t>
        </is>
      </c>
      <c r="E61" s="8" t="n">
        <v>2885.16</v>
      </c>
      <c r="F61" s="8" t="n">
        <v>0</v>
      </c>
      <c r="G61" s="8" t="n">
        <v>2885.16</v>
      </c>
      <c r="H61" s="2" t="n">
        <v>74.5</v>
      </c>
      <c r="I61" s="8" t="n">
        <v>3872.66</v>
      </c>
      <c r="J61" s="8" t="n">
        <v>6757.82</v>
      </c>
      <c r="K61" s="2" t="n">
        <v>35</v>
      </c>
      <c r="L61" s="2" t="n">
        <v>14</v>
      </c>
      <c r="M61" s="2" t="inlineStr">
        <is>
          <t>2026-09-17T19:17:29Z</t>
        </is>
      </c>
      <c r="N61" s="2" t="inlineStr">
        <is>
          <t>2026-09-18T08:32:35Z</t>
        </is>
      </c>
      <c r="O61" s="2" t="n">
        <v>47706</v>
      </c>
      <c r="P61" s="2" t="n">
        <v>0</v>
      </c>
      <c r="Q61" s="8" t="n">
        <v>0</v>
      </c>
      <c r="R61" s="8" t="n">
        <v>-2222.55</v>
      </c>
      <c r="S61" s="2" t="n">
        <v>3061</v>
      </c>
      <c r="T61" s="2" t="n">
        <v>467</v>
      </c>
    </row>
    <row r="62">
      <c r="A62" s="2" t="n">
        <v>61</v>
      </c>
      <c r="B62" s="2" t="inlineStr">
        <is>
          <t>2PXWP6M66QmLQdG3xnhJ7iFAdTra7Z1gUpfDYdmKZhEX</t>
        </is>
      </c>
      <c r="C62" s="2" t="inlineStr">
        <is>
          <t>potential_bot</t>
        </is>
      </c>
      <c r="E62" s="8" t="n">
        <v>2819.44</v>
      </c>
      <c r="F62" s="8" t="n">
        <v>0</v>
      </c>
      <c r="G62" s="8" t="n">
        <v>2819.44</v>
      </c>
      <c r="H62" s="2" t="n">
        <v>0</v>
      </c>
      <c r="I62" s="8" t="n">
        <v>0</v>
      </c>
      <c r="J62" s="8" t="n">
        <v>2819.44</v>
      </c>
      <c r="K62" s="2" t="n">
        <v>0</v>
      </c>
      <c r="L62" s="2" t="n">
        <v>3</v>
      </c>
      <c r="M62" s="2" t="inlineStr">
        <is>
          <t>2026-09-18T01:47:14Z</t>
        </is>
      </c>
      <c r="N62" s="2" t="inlineStr">
        <is>
          <t>2026-09-19T23:21:19Z</t>
        </is>
      </c>
      <c r="P62" s="2" t="n">
        <v>0</v>
      </c>
      <c r="Q62" s="8" t="n">
        <v>0</v>
      </c>
      <c r="R62" s="8" t="n">
        <v>450067.27</v>
      </c>
      <c r="S62" s="2" t="n">
        <v>997</v>
      </c>
      <c r="T62" s="2" t="n">
        <v>237</v>
      </c>
    </row>
    <row r="63">
      <c r="A63" s="2" t="n">
        <v>62</v>
      </c>
      <c r="B63" s="2" t="inlineStr">
        <is>
          <t>3AodRvueJrHwMkcCWQWZ8B9oqNYcjeTXq3ZzS5nV9uK9</t>
        </is>
      </c>
      <c r="E63" s="8" t="n">
        <v>2674.57</v>
      </c>
      <c r="F63" s="8" t="n">
        <v>0</v>
      </c>
      <c r="G63" s="8" t="n">
        <v>2674.57</v>
      </c>
      <c r="H63" s="2" t="n">
        <v>0</v>
      </c>
      <c r="I63" s="8" t="n">
        <v>0</v>
      </c>
      <c r="J63" s="8" t="n">
        <v>2674.57</v>
      </c>
      <c r="K63" s="2" t="n">
        <v>0</v>
      </c>
      <c r="L63" s="2" t="n">
        <v>1</v>
      </c>
      <c r="M63" s="2" t="inlineStr">
        <is>
          <t>2026-09-26T04:29:12Z</t>
        </is>
      </c>
      <c r="N63" s="2" t="inlineStr">
        <is>
          <t>2026-09-26T04:29:12Z</t>
        </is>
      </c>
      <c r="P63" s="2" t="n">
        <v>0</v>
      </c>
      <c r="Q63" s="8" t="n">
        <v>0</v>
      </c>
      <c r="R63" s="8" t="n">
        <v>6325.07</v>
      </c>
      <c r="S63" s="2" t="n">
        <v>489</v>
      </c>
      <c r="T63" s="2" t="n">
        <v>61</v>
      </c>
    </row>
    <row r="64">
      <c r="A64" s="2" t="n">
        <v>63</v>
      </c>
      <c r="B64" s="2" t="inlineStr">
        <is>
          <t>Hb7pUL95LYCqYDJFvjVW8S2AB83NBBGw5oEEADzJnXUZ</t>
        </is>
      </c>
      <c r="E64" s="8" t="n">
        <v>2570.61</v>
      </c>
      <c r="F64" s="8" t="n">
        <v>0</v>
      </c>
      <c r="G64" s="8" t="n">
        <v>2570.61</v>
      </c>
      <c r="H64" s="2" t="n">
        <v>0</v>
      </c>
      <c r="I64" s="8" t="n">
        <v>0</v>
      </c>
      <c r="J64" s="8" t="n">
        <v>2570.61</v>
      </c>
      <c r="K64" s="2" t="n">
        <v>0</v>
      </c>
      <c r="L64" s="2" t="n">
        <v>1</v>
      </c>
      <c r="M64" s="2" t="inlineStr">
        <is>
          <t>2026-09-18T23:39:18Z</t>
        </is>
      </c>
      <c r="N64" s="2" t="inlineStr">
        <is>
          <t>2026-09-18T23:39:18Z</t>
        </is>
      </c>
      <c r="P64" s="2" t="n">
        <v>0</v>
      </c>
      <c r="Q64" s="8" t="n">
        <v>0</v>
      </c>
      <c r="R64" s="8" t="n">
        <v>2570.61</v>
      </c>
      <c r="S64" s="2" t="n">
        <v>1</v>
      </c>
      <c r="T64" s="2" t="n">
        <v>1</v>
      </c>
    </row>
    <row r="65">
      <c r="A65" s="2" t="n">
        <v>64</v>
      </c>
      <c r="B65" s="2" t="inlineStr">
        <is>
          <t>4PsB7xKZ6srTKNT3KQvYepdgKWLCKaB5DintUnjs4vb1</t>
        </is>
      </c>
      <c r="C65" s="2" t="inlineStr">
        <is>
          <t>pumpfun-app</t>
        </is>
      </c>
      <c r="D65" s="2" t="inlineStr">
        <is>
          <t>64_</t>
        </is>
      </c>
      <c r="E65" s="8" t="n">
        <v>2479.71</v>
      </c>
      <c r="F65" s="8" t="n">
        <v>0</v>
      </c>
      <c r="G65" s="8" t="n">
        <v>2479.71</v>
      </c>
      <c r="H65" s="2" t="n">
        <v>17.65</v>
      </c>
      <c r="I65" s="8" t="n">
        <v>14048.58</v>
      </c>
      <c r="J65" s="8" t="n">
        <v>16528.29</v>
      </c>
      <c r="K65" s="2" t="n">
        <v>23</v>
      </c>
      <c r="L65" s="2" t="n">
        <v>17</v>
      </c>
      <c r="M65" s="2" t="inlineStr">
        <is>
          <t>2026-09-17T19:24:51Z</t>
        </is>
      </c>
      <c r="N65" s="2" t="inlineStr">
        <is>
          <t>2026-09-26T04:13:04Z</t>
        </is>
      </c>
      <c r="O65" s="2" t="n">
        <v>722892</v>
      </c>
      <c r="P65" s="2" t="n">
        <v>0</v>
      </c>
      <c r="Q65" s="8" t="n">
        <v>0</v>
      </c>
      <c r="R65" s="8" t="n">
        <v>6438.68</v>
      </c>
      <c r="S65" s="2" t="n">
        <v>3647</v>
      </c>
      <c r="T65" s="2" t="n">
        <v>617</v>
      </c>
    </row>
    <row r="66">
      <c r="A66" s="2" t="n">
        <v>65</v>
      </c>
      <c r="B66" s="2" t="inlineStr">
        <is>
          <t>Eh8ZKN76kaH2avqQgEZSbvNLnjab6nM41N1DAXWNE1YL</t>
        </is>
      </c>
      <c r="C66" s="2" t="inlineStr">
        <is>
          <t>axiom</t>
        </is>
      </c>
      <c r="E66" s="8" t="n">
        <v>2469.35</v>
      </c>
      <c r="F66" s="8" t="n">
        <v>0</v>
      </c>
      <c r="G66" s="8" t="n">
        <v>2469.35</v>
      </c>
      <c r="H66" s="2" t="n">
        <v>99.12</v>
      </c>
      <c r="I66" s="8" t="n">
        <v>2491.3</v>
      </c>
      <c r="J66" s="8" t="n">
        <v>4960.65</v>
      </c>
      <c r="K66" s="2" t="n">
        <v>14</v>
      </c>
      <c r="L66" s="2" t="n">
        <v>17</v>
      </c>
      <c r="M66" s="2" t="inlineStr">
        <is>
          <t>2026-09-17T19:18:34Z</t>
        </is>
      </c>
      <c r="N66" s="2" t="inlineStr">
        <is>
          <t>2026-09-17T21:00:25Z</t>
        </is>
      </c>
      <c r="O66" s="2" t="n">
        <v>6111</v>
      </c>
      <c r="P66" s="2" t="n">
        <v>0</v>
      </c>
      <c r="Q66" s="8" t="n">
        <v>0</v>
      </c>
      <c r="R66" s="8" t="n">
        <v>-110505.53</v>
      </c>
      <c r="S66" s="2" t="n">
        <v>4690</v>
      </c>
      <c r="T66" s="2" t="n">
        <v>309</v>
      </c>
    </row>
    <row r="67">
      <c r="A67" s="2" t="n">
        <v>66</v>
      </c>
      <c r="B67" s="2" t="inlineStr">
        <is>
          <t>13rMKjaMmjEJzvevoT5XwtivwoAzXay9dbNhdU15f5ZH</t>
        </is>
      </c>
      <c r="C67" s="2" t="inlineStr">
        <is>
          <t>gmgn;axiom</t>
        </is>
      </c>
      <c r="E67" s="8" t="n">
        <v>2462.79</v>
      </c>
      <c r="F67" s="8" t="n">
        <v>0</v>
      </c>
      <c r="G67" s="8" t="n">
        <v>2462.79</v>
      </c>
      <c r="H67" s="2" t="n">
        <v>479.06</v>
      </c>
      <c r="I67" s="8" t="n">
        <v>514.09</v>
      </c>
      <c r="J67" s="8" t="n">
        <v>2976.88</v>
      </c>
      <c r="K67" s="2" t="n">
        <v>4</v>
      </c>
      <c r="L67" s="2" t="n">
        <v>11</v>
      </c>
      <c r="M67" s="2" t="inlineStr">
        <is>
          <t>2026-09-17T19:17:12Z</t>
        </is>
      </c>
      <c r="N67" s="2" t="inlineStr">
        <is>
          <t>2026-09-17T19:21:51Z</t>
        </is>
      </c>
      <c r="O67" s="2" t="n">
        <v>279</v>
      </c>
      <c r="P67" s="2" t="n">
        <v>0</v>
      </c>
      <c r="Q67" s="8" t="n">
        <v>0</v>
      </c>
      <c r="R67" s="8" t="n">
        <v>53993.04</v>
      </c>
      <c r="S67" s="2" t="n">
        <v>7967</v>
      </c>
      <c r="T67" s="2" t="n">
        <v>752</v>
      </c>
    </row>
    <row r="68">
      <c r="A68" s="2" t="n">
        <v>67</v>
      </c>
      <c r="B68" s="2" t="inlineStr">
        <is>
          <t>EKRjEP1zJ7PgKMfV7a2GPPpAJDRBFm6mbNH7r5jgrfii</t>
        </is>
      </c>
      <c r="C68" s="2" t="inlineStr">
        <is>
          <t>fomo</t>
        </is>
      </c>
      <c r="D68" s="2" t="inlineStr">
        <is>
          <t>The Winner</t>
        </is>
      </c>
      <c r="E68" s="8" t="n">
        <v>2444.1</v>
      </c>
      <c r="F68" s="8" t="n">
        <v>0</v>
      </c>
      <c r="G68" s="8" t="n">
        <v>2444.1</v>
      </c>
      <c r="H68" s="2" t="n">
        <v>48.02</v>
      </c>
      <c r="I68" s="8" t="n">
        <v>5089.95</v>
      </c>
      <c r="J68" s="8" t="n">
        <v>7480.75</v>
      </c>
      <c r="K68" s="2" t="n">
        <v>5</v>
      </c>
      <c r="L68" s="2" t="n">
        <v>21</v>
      </c>
      <c r="M68" s="2" t="inlineStr">
        <is>
          <t>2026-09-17T19:50:06Z</t>
        </is>
      </c>
      <c r="N68" s="2" t="inlineStr">
        <is>
          <t>2026-09-18T13:27:28Z</t>
        </is>
      </c>
      <c r="O68" s="2" t="n">
        <v>63442</v>
      </c>
      <c r="P68" s="2" t="n">
        <v>0</v>
      </c>
      <c r="Q68" s="8" t="n">
        <v>0</v>
      </c>
      <c r="R68" s="8" t="n">
        <v>-17893.76</v>
      </c>
      <c r="S68" s="2" t="n">
        <v>1466</v>
      </c>
      <c r="T68" s="2" t="n">
        <v>498</v>
      </c>
    </row>
    <row r="69">
      <c r="A69" s="2" t="n">
        <v>68</v>
      </c>
      <c r="B69" s="2" t="inlineStr">
        <is>
          <t>HgEMXPgmiVuJy2VPR5CqNTmTEir5j73te6jeEg9xXQhj</t>
        </is>
      </c>
      <c r="C69" s="2" t="inlineStr">
        <is>
          <t>terminal;pumpfun-app</t>
        </is>
      </c>
      <c r="D69" s="2" t="inlineStr">
        <is>
          <t>milehigh90</t>
        </is>
      </c>
      <c r="E69" s="8" t="n">
        <v>2429.78</v>
      </c>
      <c r="F69" s="8" t="n">
        <v>0</v>
      </c>
      <c r="G69" s="8" t="n">
        <v>2429.78</v>
      </c>
      <c r="H69" s="2" t="n">
        <v>939.02</v>
      </c>
      <c r="I69" s="8" t="n">
        <v>258.76</v>
      </c>
      <c r="J69" s="8" t="n">
        <v>2688.54</v>
      </c>
      <c r="K69" s="2" t="n">
        <v>1</v>
      </c>
      <c r="L69" s="2" t="n">
        <v>4</v>
      </c>
      <c r="M69" s="2" t="inlineStr">
        <is>
          <t>2026-09-17T19:15:25Z</t>
        </is>
      </c>
      <c r="N69" s="2" t="inlineStr">
        <is>
          <t>2026-09-17T22:28:01Z</t>
        </is>
      </c>
      <c r="O69" s="2" t="n">
        <v>11556</v>
      </c>
      <c r="P69" s="2" t="n">
        <v>0</v>
      </c>
      <c r="Q69" s="8" t="n">
        <v>0</v>
      </c>
      <c r="R69" s="8" t="n">
        <v>-23531.69</v>
      </c>
      <c r="S69" s="2" t="n">
        <v>8536</v>
      </c>
      <c r="T69" s="2" t="n">
        <v>3104</v>
      </c>
    </row>
    <row r="70">
      <c r="A70" s="2" t="n">
        <v>69</v>
      </c>
      <c r="B70" s="2" t="inlineStr">
        <is>
          <t>DS22w2we1qvcPtAKJhBCBf7aLdC4cqcrNtgSZLroeFv9</t>
        </is>
      </c>
      <c r="C70" s="2" t="inlineStr">
        <is>
          <t>axiom</t>
        </is>
      </c>
      <c r="E70" s="8" t="n">
        <v>2405.53</v>
      </c>
      <c r="F70" s="8" t="n">
        <v>0</v>
      </c>
      <c r="G70" s="8" t="n">
        <v>2405.53</v>
      </c>
      <c r="H70" s="2" t="n">
        <v>131.42</v>
      </c>
      <c r="I70" s="8" t="n">
        <v>1830.37</v>
      </c>
      <c r="J70" s="8" t="n">
        <v>4235.89</v>
      </c>
      <c r="K70" s="2" t="n">
        <v>8</v>
      </c>
      <c r="L70" s="2" t="n">
        <v>25</v>
      </c>
      <c r="M70" s="2" t="inlineStr">
        <is>
          <t>2026-09-17T19:20:50Z</t>
        </is>
      </c>
      <c r="N70" s="2" t="inlineStr">
        <is>
          <t>2026-09-17T19:33:47Z</t>
        </is>
      </c>
      <c r="O70" s="2" t="n">
        <v>2375589</v>
      </c>
      <c r="P70" s="2" t="n">
        <v>8.14907e-10</v>
      </c>
      <c r="Q70" s="8" t="n">
        <v>0</v>
      </c>
      <c r="R70" s="8" t="n">
        <v>172094.39</v>
      </c>
      <c r="S70" s="2" t="n">
        <v>23839</v>
      </c>
      <c r="T70" s="2" t="n">
        <v>6960</v>
      </c>
    </row>
    <row r="71">
      <c r="A71" s="2" t="n">
        <v>70</v>
      </c>
      <c r="B71" s="2" t="inlineStr">
        <is>
          <t>7xbz4bo1pM8ruVMjDskUa4Zr2ZGfqLqrGSNxAQ1SXWpX</t>
        </is>
      </c>
      <c r="E71" s="8" t="n">
        <v>2377.98</v>
      </c>
      <c r="F71" s="8" t="n">
        <v>0</v>
      </c>
      <c r="G71" s="8" t="n">
        <v>2377.98</v>
      </c>
      <c r="H71" s="2" t="n">
        <v>438.58</v>
      </c>
      <c r="I71" s="8" t="n">
        <v>542.2</v>
      </c>
      <c r="J71" s="8" t="n">
        <v>2920.18</v>
      </c>
      <c r="K71" s="2" t="n">
        <v>6</v>
      </c>
      <c r="L71" s="2" t="n">
        <v>11</v>
      </c>
      <c r="M71" s="2" t="inlineStr">
        <is>
          <t>2026-09-24T13:27:02Z</t>
        </is>
      </c>
      <c r="N71" s="2" t="inlineStr">
        <is>
          <t>2026-09-30T07:30:35Z</t>
        </is>
      </c>
      <c r="O71" s="2" t="n">
        <v>497013</v>
      </c>
      <c r="P71" s="2" t="n">
        <v>0</v>
      </c>
      <c r="Q71" s="8" t="n">
        <v>0</v>
      </c>
      <c r="R71" s="8" t="n">
        <v>5077.55</v>
      </c>
      <c r="S71" s="2" t="n">
        <v>199</v>
      </c>
      <c r="T71" s="2" t="n">
        <v>34</v>
      </c>
    </row>
    <row r="72">
      <c r="A72" s="2" t="n">
        <v>71</v>
      </c>
      <c r="B72" s="2" t="inlineStr">
        <is>
          <t>EmxhsE5eJF6TZ8XJy7hjizjpACirUqpwFGkK4E2euZMP</t>
        </is>
      </c>
      <c r="C72" s="2" t="inlineStr">
        <is>
          <t>potential_bot;pumpfun-app</t>
        </is>
      </c>
      <c r="D72" s="2" t="inlineStr">
        <is>
          <t>apeonfonecycle</t>
        </is>
      </c>
      <c r="E72" s="8" t="n">
        <v>2372.41</v>
      </c>
      <c r="F72" s="8" t="n">
        <v>0</v>
      </c>
      <c r="G72" s="8" t="n">
        <v>2372.41</v>
      </c>
      <c r="H72" s="2" t="n">
        <v>121.47</v>
      </c>
      <c r="I72" s="8" t="n">
        <v>1953.1</v>
      </c>
      <c r="J72" s="8" t="n">
        <v>4081.37</v>
      </c>
      <c r="K72" s="2" t="n">
        <v>1</v>
      </c>
      <c r="L72" s="2" t="n">
        <v>2</v>
      </c>
      <c r="M72" s="2" t="inlineStr">
        <is>
          <t>2026-09-25T01:21:24Z</t>
        </is>
      </c>
      <c r="N72" s="2" t="inlineStr">
        <is>
          <t>2026-09-26T11:37:41Z</t>
        </is>
      </c>
      <c r="O72" s="2" t="n">
        <v>123377</v>
      </c>
      <c r="P72" s="2" t="n">
        <v>0</v>
      </c>
      <c r="Q72" s="8" t="n">
        <v>0</v>
      </c>
      <c r="R72" s="8" t="n">
        <v>32132.5</v>
      </c>
      <c r="S72" s="2" t="n">
        <v>166</v>
      </c>
      <c r="T72" s="2" t="n">
        <v>58</v>
      </c>
    </row>
    <row r="73">
      <c r="A73" s="2" t="n">
        <v>72</v>
      </c>
      <c r="B73" s="2" t="inlineStr">
        <is>
          <t>Gd6DaJoQ3ZnRLbc1Gam27WUFfD4nyxjQ2rqyrSkeYH83</t>
        </is>
      </c>
      <c r="C73" s="2" t="inlineStr">
        <is>
          <t>axiom</t>
        </is>
      </c>
      <c r="E73" s="8" t="n">
        <v>2323.97</v>
      </c>
      <c r="F73" s="8" t="n">
        <v>0</v>
      </c>
      <c r="G73" s="8" t="n">
        <v>2323.97</v>
      </c>
      <c r="H73" s="2" t="n">
        <v>166.57</v>
      </c>
      <c r="I73" s="8" t="n">
        <v>1395.18</v>
      </c>
      <c r="J73" s="8" t="n">
        <v>3719.16</v>
      </c>
      <c r="K73" s="2" t="n">
        <v>74</v>
      </c>
      <c r="L73" s="2" t="n">
        <v>37</v>
      </c>
      <c r="M73" s="2" t="inlineStr">
        <is>
          <t>2026-09-17T19:23:24Z</t>
        </is>
      </c>
      <c r="N73" s="2" t="inlineStr">
        <is>
          <t>2026-09-17T19:35:48Z</t>
        </is>
      </c>
      <c r="O73" s="2" t="n">
        <v>744</v>
      </c>
      <c r="P73" s="2" t="n">
        <v>0</v>
      </c>
      <c r="Q73" s="8" t="n">
        <v>0</v>
      </c>
      <c r="R73" s="8" t="n">
        <v>52313.02</v>
      </c>
      <c r="S73" s="2" t="n">
        <v>33294</v>
      </c>
      <c r="T73" s="2" t="n">
        <v>2737</v>
      </c>
    </row>
    <row r="74">
      <c r="A74" s="2" t="n">
        <v>73</v>
      </c>
      <c r="B74" s="2" t="inlineStr">
        <is>
          <t>HDUApJgLvgydExUht2MpEwfGmB1z8ifBHm2HjRF2d7Ce</t>
        </is>
      </c>
      <c r="C74" s="2" t="inlineStr">
        <is>
          <t>terminal;axiom</t>
        </is>
      </c>
      <c r="E74" s="8" t="n">
        <v>2265.12</v>
      </c>
      <c r="F74" s="8" t="n">
        <v>0</v>
      </c>
      <c r="G74" s="8" t="n">
        <v>2265.12</v>
      </c>
      <c r="H74" s="2" t="n">
        <v>225.22</v>
      </c>
      <c r="I74" s="8" t="n">
        <v>1005.74</v>
      </c>
      <c r="J74" s="8" t="n">
        <v>3270.86</v>
      </c>
      <c r="K74" s="2" t="n">
        <v>13</v>
      </c>
      <c r="L74" s="2" t="n">
        <v>16</v>
      </c>
      <c r="M74" s="2" t="inlineStr">
        <is>
          <t>2026-09-17T19:15:43Z</t>
        </is>
      </c>
      <c r="N74" s="2" t="inlineStr">
        <is>
          <t>2026-09-17T19:36:13Z</t>
        </is>
      </c>
      <c r="O74" s="2" t="n">
        <v>1230</v>
      </c>
      <c r="P74" s="2" t="n">
        <v>0</v>
      </c>
      <c r="Q74" s="8" t="n">
        <v>0</v>
      </c>
      <c r="R74" s="8" t="n">
        <v>443314.29</v>
      </c>
      <c r="S74" s="2" t="n">
        <v>189003</v>
      </c>
      <c r="T74" s="2" t="n">
        <v>43371</v>
      </c>
    </row>
    <row r="75">
      <c r="A75" s="2" t="n">
        <v>74</v>
      </c>
      <c r="B75" s="2" t="inlineStr">
        <is>
          <t>2BqTvkdyMMXk1aFThvRa9VcSeFG9i3iP8GAj2F6azX1y</t>
        </is>
      </c>
      <c r="C75" s="2" t="inlineStr">
        <is>
          <t>potential_bot</t>
        </is>
      </c>
      <c r="E75" s="8" t="n">
        <v>2207.77</v>
      </c>
      <c r="F75" s="8" t="n">
        <v>0</v>
      </c>
      <c r="G75" s="8" t="n">
        <v>2207.77</v>
      </c>
      <c r="H75" s="2" t="n">
        <v>0</v>
      </c>
      <c r="I75" s="8" t="n">
        <v>0</v>
      </c>
      <c r="J75" s="8" t="n">
        <v>2207.77</v>
      </c>
      <c r="K75" s="2" t="n">
        <v>0</v>
      </c>
      <c r="L75" s="2" t="n">
        <v>6</v>
      </c>
      <c r="M75" s="2" t="inlineStr">
        <is>
          <t>2026-09-17T20:31:31Z</t>
        </is>
      </c>
      <c r="N75" s="2" t="inlineStr">
        <is>
          <t>2026-09-18T20:20:20Z</t>
        </is>
      </c>
      <c r="P75" s="2" t="n">
        <v>0</v>
      </c>
      <c r="Q75" s="8" t="n">
        <v>0</v>
      </c>
      <c r="R75" s="8" t="n">
        <v>3460703.32</v>
      </c>
      <c r="S75" s="2" t="n">
        <v>36928</v>
      </c>
      <c r="T75" s="2" t="n">
        <v>1449</v>
      </c>
    </row>
    <row r="76">
      <c r="A76" s="2" t="n">
        <v>75</v>
      </c>
      <c r="B76" s="2" t="inlineStr">
        <is>
          <t>7xDrDWw3E9FaTkfnix5p9raznLioFEFLrTLKyDSY3rcR</t>
        </is>
      </c>
      <c r="C76" s="2" t="inlineStr">
        <is>
          <t>potential_bot;gmgn;fomo</t>
        </is>
      </c>
      <c r="D76" s="2" t="inlineStr">
        <is>
          <t>laicai</t>
        </is>
      </c>
      <c r="E76" s="8" t="n">
        <v>2205.95</v>
      </c>
      <c r="F76" s="8" t="n">
        <v>0</v>
      </c>
      <c r="G76" s="8" t="n">
        <v>2205.95</v>
      </c>
      <c r="H76" s="2" t="n">
        <v>220.59</v>
      </c>
      <c r="I76" s="8" t="n">
        <v>1000</v>
      </c>
      <c r="J76" s="8" t="n">
        <v>3205.95</v>
      </c>
      <c r="K76" s="2" t="n">
        <v>1</v>
      </c>
      <c r="L76" s="2" t="n">
        <v>5</v>
      </c>
      <c r="M76" s="2" t="inlineStr">
        <is>
          <t>2026-09-17T19:23:32Z</t>
        </is>
      </c>
      <c r="N76" s="2" t="inlineStr">
        <is>
          <t>2026-09-17T21:10:16Z</t>
        </is>
      </c>
      <c r="O76" s="2" t="n">
        <v>6404</v>
      </c>
      <c r="P76" s="2" t="n">
        <v>0</v>
      </c>
      <c r="Q76" s="8" t="n">
        <v>0</v>
      </c>
      <c r="R76" s="8" t="n">
        <v>94626.24000000001</v>
      </c>
      <c r="S76" s="2" t="n">
        <v>4680</v>
      </c>
      <c r="T76" s="2" t="n">
        <v>1407</v>
      </c>
    </row>
    <row r="77">
      <c r="A77" s="2" t="n">
        <v>76</v>
      </c>
      <c r="B77" s="2" t="inlineStr">
        <is>
          <t>GM7Hrz2bDq33ezMtL6KGidSWZXMWgZ6qBuugkb5H8NvN</t>
        </is>
      </c>
      <c r="C77" s="2" t="inlineStr">
        <is>
          <t>kol;axiom;pumpfun-app;sns</t>
        </is>
      </c>
      <c r="D77" s="2" t="inlineStr">
        <is>
          <t>Beaver</t>
        </is>
      </c>
      <c r="E77" s="8" t="n">
        <v>2175.29</v>
      </c>
      <c r="F77" s="8" t="n">
        <v>0</v>
      </c>
      <c r="G77" s="8" t="n">
        <v>2175.29</v>
      </c>
      <c r="H77" s="2" t="n">
        <v>352.76</v>
      </c>
      <c r="I77" s="8" t="n">
        <v>616.65</v>
      </c>
      <c r="J77" s="8" t="n">
        <v>2791.94</v>
      </c>
      <c r="K77" s="2" t="n">
        <v>2</v>
      </c>
      <c r="L77" s="2" t="n">
        <v>8</v>
      </c>
      <c r="M77" s="2" t="inlineStr">
        <is>
          <t>2026-09-17T19:16:13Z</t>
        </is>
      </c>
      <c r="N77" s="2" t="inlineStr">
        <is>
          <t>2026-09-17T20:28:18Z</t>
        </is>
      </c>
      <c r="O77" s="2" t="n">
        <v>4324</v>
      </c>
      <c r="P77" s="2" t="n">
        <v>0</v>
      </c>
      <c r="Q77" s="8" t="n">
        <v>0</v>
      </c>
      <c r="R77" s="8" t="n">
        <v>620239.72</v>
      </c>
      <c r="S77" s="2" t="n">
        <v>24622</v>
      </c>
      <c r="T77" s="2" t="n">
        <v>6969</v>
      </c>
    </row>
    <row r="78">
      <c r="A78" s="2" t="n">
        <v>77</v>
      </c>
      <c r="B78" s="2" t="inlineStr">
        <is>
          <t>7j8Kuur875iLiBjamVSjyXfrbwdr2z2XV7WVKgthtrbx</t>
        </is>
      </c>
      <c r="C78" s="2" t="inlineStr">
        <is>
          <t>fomo</t>
        </is>
      </c>
      <c r="D78" s="2" t="inlineStr">
        <is>
          <t>eodriozola</t>
        </is>
      </c>
      <c r="E78" s="8" t="n">
        <v>2169.77</v>
      </c>
      <c r="F78" s="8" t="n">
        <v>0</v>
      </c>
      <c r="G78" s="8" t="n">
        <v>2169.77</v>
      </c>
      <c r="H78" s="2" t="n">
        <v>61.15</v>
      </c>
      <c r="I78" s="8" t="n">
        <v>3548.35</v>
      </c>
      <c r="J78" s="8" t="n">
        <v>5718.13</v>
      </c>
      <c r="K78" s="2" t="n">
        <v>3</v>
      </c>
      <c r="L78" s="2" t="n">
        <v>5</v>
      </c>
      <c r="M78" s="2" t="inlineStr">
        <is>
          <t>2026-09-17T19:20:48Z</t>
        </is>
      </c>
      <c r="N78" s="2" t="inlineStr">
        <is>
          <t>2026-09-18T00:18:56Z</t>
        </is>
      </c>
      <c r="O78" s="2" t="n">
        <v>17888</v>
      </c>
      <c r="P78" s="2" t="n">
        <v>0</v>
      </c>
      <c r="Q78" s="8" t="n">
        <v>0</v>
      </c>
      <c r="R78" s="8" t="n">
        <v>-24891.82</v>
      </c>
      <c r="S78" s="2" t="n">
        <v>718</v>
      </c>
      <c r="T78" s="2" t="n">
        <v>255</v>
      </c>
    </row>
    <row r="79">
      <c r="A79" s="2" t="n">
        <v>78</v>
      </c>
      <c r="B79" s="2" t="inlineStr">
        <is>
          <t>HL4mxRc42MnoMNSgb6XNNG2uysCcp9R9cnhUfMYFK16n</t>
        </is>
      </c>
      <c r="C79" s="2" t="inlineStr">
        <is>
          <t>axiom</t>
        </is>
      </c>
      <c r="E79" s="8" t="n">
        <v>2162.26</v>
      </c>
      <c r="F79" s="8" t="n">
        <v>0</v>
      </c>
      <c r="G79" s="8" t="n">
        <v>2162.26</v>
      </c>
      <c r="H79" s="2" t="n">
        <v>121.07</v>
      </c>
      <c r="I79" s="8" t="n">
        <v>1786</v>
      </c>
      <c r="J79" s="8" t="n">
        <v>3948.27</v>
      </c>
      <c r="K79" s="2" t="n">
        <v>25</v>
      </c>
      <c r="L79" s="2" t="n">
        <v>24</v>
      </c>
      <c r="M79" s="2" t="inlineStr">
        <is>
          <t>2026-09-17T19:21:04Z</t>
        </is>
      </c>
      <c r="N79" s="2" t="inlineStr">
        <is>
          <t>2026-09-18T06:58:08Z</t>
        </is>
      </c>
      <c r="O79" s="2" t="n">
        <v>2375574</v>
      </c>
      <c r="P79" s="2" t="n">
        <v>2.386514e-09</v>
      </c>
      <c r="Q79" s="8" t="n">
        <v>0</v>
      </c>
      <c r="R79" s="8" t="n">
        <v>-77226.39999999999</v>
      </c>
      <c r="S79" s="2" t="n">
        <v>96123</v>
      </c>
      <c r="T79" s="2" t="n">
        <v>15556</v>
      </c>
    </row>
    <row r="80">
      <c r="A80" s="2" t="n">
        <v>79</v>
      </c>
      <c r="B80" s="2" t="inlineStr">
        <is>
          <t>5F8qXBPvyNBnoSWmA5oeDwK9SS3Hv29o36Pn8xVpBLYi</t>
        </is>
      </c>
      <c r="C80" s="2" t="inlineStr">
        <is>
          <t>pumpfun-app</t>
        </is>
      </c>
      <c r="D80" s="2" t="inlineStr">
        <is>
          <t>genohh</t>
        </is>
      </c>
      <c r="E80" s="8" t="n">
        <v>2159.87</v>
      </c>
      <c r="F80" s="8" t="n">
        <v>0</v>
      </c>
      <c r="G80" s="8" t="n">
        <v>2159.87</v>
      </c>
      <c r="H80" s="2" t="n">
        <v>308.61</v>
      </c>
      <c r="I80" s="8" t="n">
        <v>699.87</v>
      </c>
      <c r="J80" s="8" t="n">
        <v>2859.74</v>
      </c>
      <c r="K80" s="2" t="n">
        <v>6</v>
      </c>
      <c r="L80" s="2" t="n">
        <v>9</v>
      </c>
      <c r="M80" s="2" t="inlineStr">
        <is>
          <t>2026-09-17T19:14:42Z</t>
        </is>
      </c>
      <c r="N80" s="2" t="inlineStr">
        <is>
          <t>2026-09-18T18:33:25Z</t>
        </is>
      </c>
      <c r="O80" s="2" t="n">
        <v>83923</v>
      </c>
      <c r="P80" s="2" t="n">
        <v>0</v>
      </c>
      <c r="Q80" s="8" t="n">
        <v>0</v>
      </c>
      <c r="R80" s="8" t="n">
        <v>7716.86</v>
      </c>
      <c r="S80" s="2" t="n">
        <v>14375</v>
      </c>
      <c r="T80" s="2" t="n">
        <v>4957</v>
      </c>
    </row>
    <row r="81">
      <c r="A81" s="2" t="n">
        <v>80</v>
      </c>
      <c r="B81" s="2" t="inlineStr">
        <is>
          <t>76Ycxumc9GKavhJYqNVCCM6ZCFrBySCKrcW2hmpVHMq4</t>
        </is>
      </c>
      <c r="C81" s="2" t="inlineStr">
        <is>
          <t>axiom</t>
        </is>
      </c>
      <c r="E81" s="8" t="n">
        <v>2153.16</v>
      </c>
      <c r="F81" s="8" t="n">
        <v>0</v>
      </c>
      <c r="G81" s="8" t="n">
        <v>2153.16</v>
      </c>
      <c r="H81" s="2" t="n">
        <v>420.09</v>
      </c>
      <c r="I81" s="8" t="n">
        <v>512.55</v>
      </c>
      <c r="J81" s="8" t="n">
        <v>2665.71</v>
      </c>
      <c r="K81" s="2" t="n">
        <v>7</v>
      </c>
      <c r="L81" s="2" t="n">
        <v>8</v>
      </c>
      <c r="M81" s="2" t="inlineStr">
        <is>
          <t>2026-09-17T19:15:19Z</t>
        </is>
      </c>
      <c r="N81" s="2" t="inlineStr">
        <is>
          <t>2026-09-17T21:25:32Z</t>
        </is>
      </c>
      <c r="O81" s="2" t="n">
        <v>7812</v>
      </c>
      <c r="P81" s="2" t="n">
        <v>0</v>
      </c>
      <c r="Q81" s="8" t="n">
        <v>0</v>
      </c>
      <c r="R81" s="8" t="n">
        <v>-91031.13</v>
      </c>
      <c r="S81" s="2" t="n">
        <v>15074</v>
      </c>
      <c r="T81" s="2" t="n">
        <v>3764</v>
      </c>
    </row>
    <row r="82">
      <c r="A82" s="2" t="n">
        <v>81</v>
      </c>
      <c r="B82" s="2" t="inlineStr">
        <is>
          <t>6Tfx4PUcRM6in5SssSgWeSZMbjR1RJsLsqzA4u1V36ky</t>
        </is>
      </c>
      <c r="C82" s="2" t="inlineStr">
        <is>
          <t>gmgn;terminal;pumpfun-app</t>
        </is>
      </c>
      <c r="D82" s="2" t="inlineStr">
        <is>
          <t>lalalupsiy</t>
        </is>
      </c>
      <c r="E82" s="8" t="n">
        <v>2138.94</v>
      </c>
      <c r="F82" s="8" t="n">
        <v>0</v>
      </c>
      <c r="G82" s="8" t="n">
        <v>2138.94</v>
      </c>
      <c r="H82" s="2" t="n">
        <v>670.14</v>
      </c>
      <c r="I82" s="8" t="n">
        <v>319.18</v>
      </c>
      <c r="J82" s="8" t="n">
        <v>2458.11</v>
      </c>
      <c r="K82" s="2" t="n">
        <v>4</v>
      </c>
      <c r="L82" s="2" t="n">
        <v>13</v>
      </c>
      <c r="M82" s="2" t="inlineStr">
        <is>
          <t>2026-09-17T19:18:26Z</t>
        </is>
      </c>
      <c r="N82" s="2" t="inlineStr">
        <is>
          <t>2026-09-19T19:41:25Z</t>
        </is>
      </c>
      <c r="O82" s="2" t="n">
        <v>174179</v>
      </c>
      <c r="P82" s="2" t="n">
        <v>0</v>
      </c>
      <c r="Q82" s="8" t="n">
        <v>0</v>
      </c>
      <c r="R82" s="8" t="n">
        <v>-53537.53</v>
      </c>
      <c r="S82" s="2" t="n">
        <v>11044</v>
      </c>
      <c r="T82" s="2" t="n">
        <v>1619</v>
      </c>
    </row>
    <row r="83">
      <c r="A83" s="2" t="n">
        <v>82</v>
      </c>
      <c r="B83" s="2" t="inlineStr">
        <is>
          <t>8codemQrXGymCvPGLuNR6HXRSMfwnkiJsnpAxwACKu8E</t>
        </is>
      </c>
      <c r="C83" s="2" t="inlineStr">
        <is>
          <t>axiom</t>
        </is>
      </c>
      <c r="E83" s="8" t="n">
        <v>2093.65</v>
      </c>
      <c r="F83" s="8" t="n">
        <v>0</v>
      </c>
      <c r="G83" s="8" t="n">
        <v>2093.65</v>
      </c>
      <c r="H83" s="2" t="n">
        <v>2124.05</v>
      </c>
      <c r="I83" s="8" t="n">
        <v>98.56999999999999</v>
      </c>
      <c r="J83" s="8" t="n">
        <v>2192.22</v>
      </c>
      <c r="K83" s="2" t="n">
        <v>1</v>
      </c>
      <c r="L83" s="2" t="n">
        <v>20</v>
      </c>
      <c r="M83" s="2" t="inlineStr">
        <is>
          <t>2026-09-17T19:12:10Z</t>
        </is>
      </c>
      <c r="N83" s="2" t="inlineStr">
        <is>
          <t>2026-09-17T20:14:20Z</t>
        </is>
      </c>
      <c r="O83" s="2" t="n">
        <v>3730</v>
      </c>
      <c r="P83" s="2" t="n">
        <v>0</v>
      </c>
      <c r="Q83" s="8" t="n">
        <v>0</v>
      </c>
      <c r="R83" s="8" t="n">
        <v>-27675.86</v>
      </c>
      <c r="S83" s="2" t="n">
        <v>17862</v>
      </c>
      <c r="T83" s="2" t="n">
        <v>4731</v>
      </c>
    </row>
    <row r="84">
      <c r="A84" s="2" t="n">
        <v>83</v>
      </c>
      <c r="B84" s="2" t="inlineStr">
        <is>
          <t>92DP5Xi5k5PqBGu3qqFAYvqTEG5cuVdBG58iwUGCtNN6</t>
        </is>
      </c>
      <c r="C84" s="2" t="inlineStr">
        <is>
          <t>gmgn</t>
        </is>
      </c>
      <c r="E84" s="8" t="n">
        <v>2089.82</v>
      </c>
      <c r="F84" s="8" t="n">
        <v>0</v>
      </c>
      <c r="G84" s="8" t="n">
        <v>2089.82</v>
      </c>
      <c r="H84" s="2" t="n">
        <v>1102.48</v>
      </c>
      <c r="I84" s="8" t="n">
        <v>189.56</v>
      </c>
      <c r="J84" s="8" t="n">
        <v>2279.37</v>
      </c>
      <c r="K84" s="2" t="n">
        <v>1</v>
      </c>
      <c r="L84" s="2" t="n">
        <v>15</v>
      </c>
      <c r="M84" s="2" t="inlineStr">
        <is>
          <t>2026-09-17T19:16:02Z</t>
        </is>
      </c>
      <c r="N84" s="2" t="inlineStr">
        <is>
          <t>2026-09-17T20:26:46Z</t>
        </is>
      </c>
      <c r="O84" s="2" t="n">
        <v>4243</v>
      </c>
      <c r="P84" s="2" t="n">
        <v>0</v>
      </c>
      <c r="Q84" s="8" t="n">
        <v>0</v>
      </c>
      <c r="R84" s="8" t="n">
        <v>1244.4</v>
      </c>
      <c r="S84" s="2" t="n">
        <v>151</v>
      </c>
      <c r="T84" s="2" t="n">
        <v>52</v>
      </c>
    </row>
    <row r="85">
      <c r="A85" s="2" t="n">
        <v>84</v>
      </c>
      <c r="B85" s="2" t="inlineStr">
        <is>
          <t>6Fkqdevn3FPpMQPB8TrwAuawJxUuTsrzmFk2okaq9Cni</t>
        </is>
      </c>
      <c r="C85" s="2" t="inlineStr">
        <is>
          <t>axiom</t>
        </is>
      </c>
      <c r="E85" s="8" t="n">
        <v>2083.52</v>
      </c>
      <c r="F85" s="8" t="n">
        <v>0</v>
      </c>
      <c r="G85" s="8" t="n">
        <v>2083.52</v>
      </c>
      <c r="H85" s="2" t="n">
        <v>158.23</v>
      </c>
      <c r="I85" s="8" t="n">
        <v>1316.74</v>
      </c>
      <c r="J85" s="8" t="n">
        <v>3400.26</v>
      </c>
      <c r="K85" s="2" t="n">
        <v>74</v>
      </c>
      <c r="L85" s="2" t="n">
        <v>37</v>
      </c>
      <c r="M85" s="2" t="inlineStr">
        <is>
          <t>2026-09-17T19:23:24Z</t>
        </is>
      </c>
      <c r="N85" s="2" t="inlineStr">
        <is>
          <t>2026-09-17T19:35:48Z</t>
        </is>
      </c>
      <c r="O85" s="2" t="n">
        <v>744</v>
      </c>
      <c r="P85" s="2" t="n">
        <v>0</v>
      </c>
      <c r="Q85" s="8" t="n">
        <v>0</v>
      </c>
      <c r="R85" s="8" t="n">
        <v>49236.69</v>
      </c>
      <c r="S85" s="2" t="n">
        <v>25224</v>
      </c>
      <c r="T85" s="2" t="n">
        <v>1617</v>
      </c>
    </row>
    <row r="86">
      <c r="A86" s="2" t="n">
        <v>85</v>
      </c>
      <c r="B86" s="2" t="inlineStr">
        <is>
          <t>97K6nsFhBWDKwQf6heDDhDtsCRC4779LPHSFZkc2zqK4</t>
        </is>
      </c>
      <c r="C86" s="2" t="inlineStr">
        <is>
          <t>potential_bot;gmgn;pumpfun-app</t>
        </is>
      </c>
      <c r="D86" s="2" t="inlineStr">
        <is>
          <t>NikolaiX</t>
        </is>
      </c>
      <c r="E86" s="8" t="n">
        <v>2071.13</v>
      </c>
      <c r="F86" s="8" t="n">
        <v>0</v>
      </c>
      <c r="G86" s="8" t="n">
        <v>2071.13</v>
      </c>
      <c r="H86" s="2" t="n">
        <v>24.92</v>
      </c>
      <c r="I86" s="8" t="n">
        <v>8309.809999999999</v>
      </c>
      <c r="J86" s="8" t="n">
        <v>10380.94</v>
      </c>
      <c r="K86" s="2" t="n">
        <v>36</v>
      </c>
      <c r="L86" s="2" t="n">
        <v>11</v>
      </c>
      <c r="M86" s="2" t="inlineStr">
        <is>
          <t>2026-09-17T19:23:43Z</t>
        </is>
      </c>
      <c r="N86" s="2" t="inlineStr">
        <is>
          <t>2026-09-18T13:10:08Z</t>
        </is>
      </c>
      <c r="O86" s="2" t="n">
        <v>63986</v>
      </c>
      <c r="P86" s="2" t="n">
        <v>0</v>
      </c>
      <c r="Q86" s="8" t="n">
        <v>0</v>
      </c>
      <c r="R86" s="8" t="n">
        <v>567975.78</v>
      </c>
      <c r="S86" s="2" t="n">
        <v>47108</v>
      </c>
      <c r="T86" s="2" t="n">
        <v>10183</v>
      </c>
    </row>
    <row r="87">
      <c r="A87" s="2" t="n">
        <v>86</v>
      </c>
      <c r="B87" s="2" t="inlineStr">
        <is>
          <t>F8nSATqw9BUhMVTEs5g8QF7zjGDaPA15UMnDr5KpXjNG</t>
        </is>
      </c>
      <c r="C87" s="2" t="inlineStr">
        <is>
          <t>axiom</t>
        </is>
      </c>
      <c r="E87" s="8" t="n">
        <v>2070.02</v>
      </c>
      <c r="F87" s="8" t="n">
        <v>0</v>
      </c>
      <c r="G87" s="8" t="n">
        <v>2070.02</v>
      </c>
      <c r="H87" s="2" t="n">
        <v>510.76</v>
      </c>
      <c r="I87" s="8" t="n">
        <v>405.28</v>
      </c>
      <c r="J87" s="8" t="n">
        <v>2475.3</v>
      </c>
      <c r="K87" s="2" t="n">
        <v>4</v>
      </c>
      <c r="L87" s="2" t="n">
        <v>3</v>
      </c>
      <c r="M87" s="2" t="inlineStr">
        <is>
          <t>2026-09-17T19:19:49Z</t>
        </is>
      </c>
      <c r="N87" s="2" t="inlineStr">
        <is>
          <t>2026-09-17T21:01:18Z</t>
        </is>
      </c>
      <c r="O87" s="2" t="n">
        <v>6089</v>
      </c>
      <c r="P87" s="2" t="n">
        <v>0</v>
      </c>
      <c r="Q87" s="8" t="n">
        <v>0</v>
      </c>
      <c r="R87" s="8" t="n">
        <v>-10695.42</v>
      </c>
      <c r="S87" s="2" t="n">
        <v>1183</v>
      </c>
      <c r="T87" s="2" t="n">
        <v>254</v>
      </c>
    </row>
    <row r="88">
      <c r="A88" s="2" t="n">
        <v>87</v>
      </c>
      <c r="B88" s="2" t="inlineStr">
        <is>
          <t>2EwnACc1Dh5M8bPyzrVdfqfza4PbiqvKV3fSvL9wFs28</t>
        </is>
      </c>
      <c r="C88" s="2" t="inlineStr">
        <is>
          <t>potential_bot;fomo</t>
        </is>
      </c>
      <c r="D88" s="2" t="inlineStr">
        <is>
          <t>fоmο</t>
        </is>
      </c>
      <c r="E88" s="8" t="n">
        <v>2049.82</v>
      </c>
      <c r="F88" s="8" t="n">
        <v>0</v>
      </c>
      <c r="G88" s="8" t="n">
        <v>2049.82</v>
      </c>
      <c r="H88" s="2" t="n">
        <v>409.96</v>
      </c>
      <c r="I88" s="8" t="n">
        <v>500</v>
      </c>
      <c r="J88" s="8" t="n">
        <v>2549.82</v>
      </c>
      <c r="K88" s="2" t="n">
        <v>1</v>
      </c>
      <c r="L88" s="2" t="n">
        <v>2</v>
      </c>
      <c r="M88" s="2" t="inlineStr">
        <is>
          <t>2026-09-18T08:33:16Z</t>
        </is>
      </c>
      <c r="N88" s="2" t="inlineStr">
        <is>
          <t>2026-09-18T10:05:55Z</t>
        </is>
      </c>
      <c r="O88" s="2" t="n">
        <v>5559</v>
      </c>
      <c r="P88" s="2" t="n">
        <v>0</v>
      </c>
      <c r="Q88" s="8" t="n">
        <v>0</v>
      </c>
      <c r="R88" s="8" t="n">
        <v>153604.88</v>
      </c>
      <c r="S88" s="2" t="n">
        <v>1037</v>
      </c>
      <c r="T88" s="2" t="n">
        <v>48</v>
      </c>
    </row>
    <row r="89">
      <c r="A89" s="2" t="n">
        <v>88</v>
      </c>
      <c r="B89" s="2" t="inlineStr">
        <is>
          <t>6zrPw7fiBuqEs5xJVx3divSzAHPtLS75p9cJV4niHoDL</t>
        </is>
      </c>
      <c r="C89" s="2" t="inlineStr">
        <is>
          <t>potential_bot</t>
        </is>
      </c>
      <c r="E89" s="8" t="n">
        <v>2038.03</v>
      </c>
      <c r="F89" s="8" t="n">
        <v>0</v>
      </c>
      <c r="G89" s="8" t="n">
        <v>2038.03</v>
      </c>
      <c r="H89" s="2" t="n">
        <v>0</v>
      </c>
      <c r="I89" s="8" t="n">
        <v>0</v>
      </c>
      <c r="J89" s="8" t="n">
        <v>2038.03</v>
      </c>
      <c r="K89" s="2" t="n">
        <v>0</v>
      </c>
      <c r="L89" s="2" t="n">
        <v>2</v>
      </c>
      <c r="M89" s="2" t="inlineStr">
        <is>
          <t>2026-09-18T21:05:36Z</t>
        </is>
      </c>
      <c r="N89" s="2" t="inlineStr">
        <is>
          <t>2026-09-19T11:18:15Z</t>
        </is>
      </c>
      <c r="P89" s="2" t="n">
        <v>0</v>
      </c>
      <c r="Q89" s="8" t="n">
        <v>0</v>
      </c>
      <c r="R89" s="8" t="n">
        <v>42705.59</v>
      </c>
      <c r="S89" s="2" t="n">
        <v>228</v>
      </c>
      <c r="T89" s="2" t="n">
        <v>58</v>
      </c>
    </row>
    <row r="90">
      <c r="A90" s="2" t="n">
        <v>89</v>
      </c>
      <c r="B90" s="2" t="inlineStr">
        <is>
          <t>kEFiAX3jo5NmemysQov342TZ9mGh6yp92GDRjhA8XDf</t>
        </is>
      </c>
      <c r="E90" s="8" t="n">
        <v>2019.09</v>
      </c>
      <c r="F90" s="8" t="n">
        <v>0</v>
      </c>
      <c r="G90" s="8" t="n">
        <v>2019.09</v>
      </c>
      <c r="H90" s="2" t="n">
        <v>1.63</v>
      </c>
      <c r="I90" s="8" t="n">
        <v>123949.54</v>
      </c>
      <c r="J90" s="8" t="n">
        <v>125968.63</v>
      </c>
      <c r="K90" s="2" t="n">
        <v>272</v>
      </c>
      <c r="L90" s="2" t="n">
        <v>272</v>
      </c>
      <c r="M90" s="2" t="inlineStr">
        <is>
          <t>2026-09-17T19:15:43Z</t>
        </is>
      </c>
      <c r="N90" s="2" t="inlineStr">
        <is>
          <t>2026-09-19T20:27:43Z</t>
        </is>
      </c>
      <c r="O90" s="2" t="n">
        <v>177120</v>
      </c>
      <c r="P90" s="2" t="n">
        <v>0</v>
      </c>
      <c r="Q90" s="8" t="n">
        <v>0</v>
      </c>
      <c r="R90" s="8" t="n">
        <v>3076939.55</v>
      </c>
      <c r="S90" s="2" t="n">
        <v>2048595</v>
      </c>
      <c r="T90" s="2" t="n">
        <v>54159</v>
      </c>
    </row>
    <row r="91">
      <c r="A91" s="2" t="n">
        <v>90</v>
      </c>
      <c r="B91" s="2" t="inlineStr">
        <is>
          <t>EoHsfeh72zKoe3vzUPy8reJKaw7QEKRzw77hopV5yxQm</t>
        </is>
      </c>
      <c r="C91" s="2" t="inlineStr">
        <is>
          <t>pumpfun-app</t>
        </is>
      </c>
      <c r="D91" s="2" t="inlineStr">
        <is>
          <t>heroicshark6283</t>
        </is>
      </c>
      <c r="E91" s="8" t="n">
        <v>2017.54</v>
      </c>
      <c r="F91" s="8" t="n">
        <v>0</v>
      </c>
      <c r="G91" s="8" t="n">
        <v>2017.54</v>
      </c>
      <c r="H91" s="2" t="n">
        <v>14.94</v>
      </c>
      <c r="I91" s="8" t="n">
        <v>13503.88</v>
      </c>
      <c r="J91" s="8" t="n">
        <v>15521.42</v>
      </c>
      <c r="K91" s="2" t="n">
        <v>11</v>
      </c>
      <c r="L91" s="2" t="n">
        <v>12</v>
      </c>
      <c r="M91" s="2" t="inlineStr">
        <is>
          <t>2026-09-17T19:24:30Z</t>
        </is>
      </c>
      <c r="N91" s="2" t="inlineStr">
        <is>
          <t>2026-09-18T18:28:38Z</t>
        </is>
      </c>
      <c r="O91" s="2" t="n">
        <v>2375369</v>
      </c>
      <c r="P91" s="2" t="n">
        <v>4.65661e-10</v>
      </c>
      <c r="Q91" s="8" t="n">
        <v>0</v>
      </c>
      <c r="R91" s="8" t="n">
        <v>-12083.29</v>
      </c>
      <c r="S91" s="2" t="n">
        <v>181</v>
      </c>
      <c r="T91" s="2" t="n">
        <v>48</v>
      </c>
    </row>
    <row r="92">
      <c r="A92" s="2" t="n">
        <v>91</v>
      </c>
      <c r="B92" s="2" t="inlineStr">
        <is>
          <t>7DrCZkVEqy6a2cJMmYoZANWL6GMBmJ99KwpTimWnhpgC</t>
        </is>
      </c>
      <c r="C92" s="2" t="inlineStr">
        <is>
          <t>fomo</t>
        </is>
      </c>
      <c r="D92" s="2" t="inlineStr">
        <is>
          <t>relax</t>
        </is>
      </c>
      <c r="E92" s="8" t="n">
        <v>2004.95</v>
      </c>
      <c r="F92" s="8" t="n">
        <v>0</v>
      </c>
      <c r="G92" s="8" t="n">
        <v>2004.95</v>
      </c>
      <c r="H92" s="2" t="n">
        <v>61.02</v>
      </c>
      <c r="I92" s="8" t="n">
        <v>3285.63</v>
      </c>
      <c r="J92" s="8" t="n">
        <v>5290.59</v>
      </c>
      <c r="K92" s="2" t="n">
        <v>8</v>
      </c>
      <c r="L92" s="2" t="n">
        <v>1</v>
      </c>
      <c r="M92" s="2" t="inlineStr">
        <is>
          <t>2026-09-17T19:54:02Z</t>
        </is>
      </c>
      <c r="N92" s="2" t="inlineStr">
        <is>
          <t>2026-09-26T03:20:15Z</t>
        </is>
      </c>
      <c r="O92" s="2" t="n">
        <v>717973</v>
      </c>
      <c r="P92" s="2" t="n">
        <v>0</v>
      </c>
      <c r="Q92" s="8" t="n">
        <v>0</v>
      </c>
      <c r="R92" s="8" t="n">
        <v>29056.25</v>
      </c>
      <c r="S92" s="2" t="n">
        <v>2882</v>
      </c>
      <c r="T92" s="2" t="n">
        <v>535</v>
      </c>
    </row>
    <row r="93">
      <c r="A93" s="2" t="n">
        <v>92</v>
      </c>
      <c r="B93" s="2" t="inlineStr">
        <is>
          <t>A2WnaaU5MjZpqGk7z4rwUD4di6BVinvx5JR2k7tjeiwg</t>
        </is>
      </c>
      <c r="E93" s="8" t="n">
        <v>2000.42</v>
      </c>
      <c r="F93" s="8" t="n">
        <v>0</v>
      </c>
      <c r="G93" s="8" t="n">
        <v>2000.42</v>
      </c>
      <c r="H93" s="2" t="n">
        <v>41.03</v>
      </c>
      <c r="I93" s="8" t="n">
        <v>4875.43</v>
      </c>
      <c r="J93" s="8" t="n">
        <v>6875.59</v>
      </c>
      <c r="K93" s="2" t="n">
        <v>11</v>
      </c>
      <c r="L93" s="2" t="n">
        <v>7</v>
      </c>
      <c r="M93" s="2" t="inlineStr">
        <is>
          <t>2026-09-25T16:55:50Z</t>
        </is>
      </c>
      <c r="N93" s="2" t="inlineStr">
        <is>
          <t>2026-09-29T02:36:18Z</t>
        </is>
      </c>
      <c r="O93" s="2" t="n">
        <v>294028</v>
      </c>
      <c r="P93" s="2" t="n">
        <v>0</v>
      </c>
      <c r="Q93" s="8" t="n">
        <v>0</v>
      </c>
      <c r="R93" s="8" t="n">
        <v>3973.57</v>
      </c>
      <c r="S93" s="2" t="n">
        <v>495</v>
      </c>
      <c r="T93" s="2" t="n">
        <v>24</v>
      </c>
    </row>
    <row r="94">
      <c r="A94" s="2" t="n">
        <v>93</v>
      </c>
      <c r="B94" s="2" t="inlineStr">
        <is>
          <t>FovSpZ93mKiTs6Ak4JFBkdCMdc1ATALDd6rP6BYtMTMc</t>
        </is>
      </c>
      <c r="C94" s="2" t="inlineStr">
        <is>
          <t>axiom</t>
        </is>
      </c>
      <c r="E94" s="8" t="n">
        <v>1978.96</v>
      </c>
      <c r="F94" s="8" t="n">
        <v>0</v>
      </c>
      <c r="G94" s="8" t="n">
        <v>1978.96</v>
      </c>
      <c r="H94" s="2" t="n">
        <v>84.59</v>
      </c>
      <c r="I94" s="8" t="n">
        <v>2339.56</v>
      </c>
      <c r="J94" s="8" t="n">
        <v>4318.52</v>
      </c>
      <c r="K94" s="2" t="n">
        <v>4</v>
      </c>
      <c r="L94" s="2" t="n">
        <v>3</v>
      </c>
      <c r="M94" s="2" t="inlineStr">
        <is>
          <t>2026-09-17T19:17:50Z</t>
        </is>
      </c>
      <c r="N94" s="2" t="inlineStr">
        <is>
          <t>2026-09-17T22:23:42Z</t>
        </is>
      </c>
      <c r="O94" s="2" t="n">
        <v>11152</v>
      </c>
      <c r="P94" s="2" t="n">
        <v>0</v>
      </c>
      <c r="Q94" s="8" t="n">
        <v>0</v>
      </c>
      <c r="R94" s="8" t="n">
        <v>827.38</v>
      </c>
      <c r="S94" s="2" t="n">
        <v>1003</v>
      </c>
      <c r="T94" s="2" t="n">
        <v>289</v>
      </c>
    </row>
    <row r="95">
      <c r="A95" s="2" t="n">
        <v>94</v>
      </c>
      <c r="B95" s="2" t="inlineStr">
        <is>
          <t>FGTxbX6fW9T8uGHZ5GaR3W8z1N9u7ijYWb8NpG933EQa</t>
        </is>
      </c>
      <c r="C95" s="2" t="inlineStr">
        <is>
          <t>axiom</t>
        </is>
      </c>
      <c r="E95" s="8" t="n">
        <v>1974.51</v>
      </c>
      <c r="F95" s="8" t="n">
        <v>0</v>
      </c>
      <c r="G95" s="8" t="n">
        <v>1974.51</v>
      </c>
      <c r="H95" s="2" t="n">
        <v>69.06</v>
      </c>
      <c r="I95" s="8" t="n">
        <v>2859.19</v>
      </c>
      <c r="J95" s="8" t="n">
        <v>4833.69</v>
      </c>
      <c r="K95" s="2" t="n">
        <v>10</v>
      </c>
      <c r="L95" s="2" t="n">
        <v>2</v>
      </c>
      <c r="M95" s="2" t="inlineStr">
        <is>
          <t>2026-09-17T19:25:42Z</t>
        </is>
      </c>
      <c r="N95" s="2" t="inlineStr">
        <is>
          <t>2026-09-18T06:42:11Z</t>
        </is>
      </c>
      <c r="O95" s="2" t="n">
        <v>40588</v>
      </c>
      <c r="P95" s="2" t="n">
        <v>0</v>
      </c>
      <c r="Q95" s="8" t="n">
        <v>0</v>
      </c>
      <c r="R95" s="8" t="n">
        <v>-11533.61</v>
      </c>
      <c r="S95" s="2" t="n">
        <v>9607</v>
      </c>
      <c r="T95" s="2" t="n">
        <v>1832</v>
      </c>
    </row>
    <row r="96">
      <c r="A96" s="2" t="n">
        <v>95</v>
      </c>
      <c r="B96" s="2" t="inlineStr">
        <is>
          <t>7DZXLxzshW8HnKeE5b8EDi4MKEJzBvS3z2rJnMWNJeQX</t>
        </is>
      </c>
      <c r="C96" s="2" t="inlineStr">
        <is>
          <t>potential_bot;gmgn</t>
        </is>
      </c>
      <c r="E96" s="8" t="n">
        <v>1964.1</v>
      </c>
      <c r="F96" s="8" t="n">
        <v>0</v>
      </c>
      <c r="G96" s="8" t="n">
        <v>1964.1</v>
      </c>
      <c r="H96" s="2" t="n">
        <v>279.29</v>
      </c>
      <c r="I96" s="8" t="n">
        <v>703.26</v>
      </c>
      <c r="J96" s="8" t="n">
        <v>2667.35</v>
      </c>
      <c r="K96" s="2" t="n">
        <v>17</v>
      </c>
      <c r="L96" s="2" t="n">
        <v>25</v>
      </c>
      <c r="M96" s="2" t="inlineStr">
        <is>
          <t>2026-09-17T19:15:44Z</t>
        </is>
      </c>
      <c r="N96" s="2" t="inlineStr">
        <is>
          <t>2026-09-17T19:28:22Z</t>
        </is>
      </c>
      <c r="O96" s="2" t="n">
        <v>758</v>
      </c>
      <c r="P96" s="2" t="n">
        <v>0</v>
      </c>
      <c r="Q96" s="8" t="n">
        <v>0</v>
      </c>
      <c r="R96" s="8" t="n">
        <v>130082.81</v>
      </c>
      <c r="S96" s="2" t="n">
        <v>1966</v>
      </c>
      <c r="T96" s="2" t="n">
        <v>391</v>
      </c>
    </row>
    <row r="97">
      <c r="A97" s="2" t="n">
        <v>96</v>
      </c>
      <c r="B97" s="2" t="inlineStr">
        <is>
          <t>5mugTxv47CQVXmgVQ6TmCL72Ydhsq8DNnGh8vzdu6pW</t>
        </is>
      </c>
      <c r="C97" s="2" t="inlineStr">
        <is>
          <t>fomo</t>
        </is>
      </c>
      <c r="D97" s="2" t="inlineStr">
        <is>
          <t>Kdotkrisp</t>
        </is>
      </c>
      <c r="E97" s="8" t="n">
        <v>1958.88</v>
      </c>
      <c r="F97" s="8" t="n">
        <v>0</v>
      </c>
      <c r="G97" s="8" t="n">
        <v>1958.88</v>
      </c>
      <c r="H97" s="2" t="n">
        <v>70</v>
      </c>
      <c r="I97" s="8" t="n">
        <v>2798.61</v>
      </c>
      <c r="J97" s="8" t="n">
        <v>4757.49</v>
      </c>
      <c r="K97" s="2" t="n">
        <v>3</v>
      </c>
      <c r="L97" s="2" t="n">
        <v>3</v>
      </c>
      <c r="M97" s="2" t="inlineStr">
        <is>
          <t>2026-09-17T19:22:51Z</t>
        </is>
      </c>
      <c r="N97" s="2" t="inlineStr">
        <is>
          <t>2026-09-17T20:18:56Z</t>
        </is>
      </c>
      <c r="O97" s="2" t="n">
        <v>3365</v>
      </c>
      <c r="P97" s="2" t="n">
        <v>0</v>
      </c>
      <c r="Q97" s="8" t="n">
        <v>0</v>
      </c>
      <c r="R97" s="8" t="n">
        <v>-6465.29</v>
      </c>
      <c r="S97" s="2" t="n">
        <v>749</v>
      </c>
      <c r="T97" s="2" t="n">
        <v>307</v>
      </c>
    </row>
    <row r="98">
      <c r="A98" s="2" t="n">
        <v>97</v>
      </c>
      <c r="B98" s="2" t="inlineStr">
        <is>
          <t>HeaPzXgCqcqwooBUEksNBBMJPM76qPZj2GPRn4Up4E21</t>
        </is>
      </c>
      <c r="C98" s="2" t="inlineStr">
        <is>
          <t>potential_bot</t>
        </is>
      </c>
      <c r="E98" s="8" t="n">
        <v>1929.34</v>
      </c>
      <c r="F98" s="8" t="n">
        <v>-107.53</v>
      </c>
      <c r="G98" s="8" t="n">
        <v>1821.81</v>
      </c>
      <c r="H98" s="2" t="n">
        <v>113.94</v>
      </c>
      <c r="I98" s="8" t="n">
        <v>1598.91</v>
      </c>
      <c r="J98" s="8" t="n">
        <v>3407.31</v>
      </c>
      <c r="K98" s="2" t="n">
        <v>22</v>
      </c>
      <c r="L98" s="2" t="n">
        <v>22</v>
      </c>
      <c r="M98" s="2" t="inlineStr">
        <is>
          <t>2026-09-18T11:17:57Z</t>
        </is>
      </c>
      <c r="N98" s="2" t="inlineStr">
        <is>
          <t>2026-09-27T20:40:22Z</t>
        </is>
      </c>
      <c r="O98" s="2" t="n">
        <v>2318162</v>
      </c>
      <c r="P98" s="2" t="n">
        <v>406020.39618</v>
      </c>
      <c r="Q98" s="8" t="n">
        <v>13.41</v>
      </c>
      <c r="R98" s="8" t="n">
        <v>16583.55</v>
      </c>
      <c r="S98" s="2" t="n">
        <v>6084</v>
      </c>
      <c r="T98" s="2" t="n">
        <v>1525</v>
      </c>
    </row>
    <row r="99">
      <c r="A99" s="2" t="n">
        <v>98</v>
      </c>
      <c r="B99" s="2" t="inlineStr">
        <is>
          <t>5aLY85pyxiuX3fd4RgM3Yc1e3MAL6b7UgaZz6MS3JUfG</t>
        </is>
      </c>
      <c r="E99" s="8" t="n">
        <v>1923.89</v>
      </c>
      <c r="F99" s="8" t="n">
        <v>0</v>
      </c>
      <c r="G99" s="8" t="n">
        <v>1923.89</v>
      </c>
      <c r="H99" s="2" t="n">
        <v>13.27</v>
      </c>
      <c r="I99" s="8" t="n">
        <v>14496.6</v>
      </c>
      <c r="J99" s="8" t="n">
        <v>16420.49</v>
      </c>
      <c r="K99" s="2" t="n">
        <v>18</v>
      </c>
      <c r="L99" s="2" t="n">
        <v>18</v>
      </c>
      <c r="M99" s="2" t="inlineStr">
        <is>
          <t>2026-09-17T19:25:29Z</t>
        </is>
      </c>
      <c r="N99" s="2" t="inlineStr">
        <is>
          <t>2026-10-12T06:15:29Z</t>
        </is>
      </c>
      <c r="O99" s="2" t="n">
        <v>2112601</v>
      </c>
      <c r="P99" s="2" t="n">
        <v>0</v>
      </c>
      <c r="Q99" s="8" t="n">
        <v>0</v>
      </c>
      <c r="R99" s="8" t="n">
        <v>3390276.24</v>
      </c>
      <c r="S99" s="2" t="n">
        <v>1244092</v>
      </c>
      <c r="T99" s="2" t="n">
        <v>49502</v>
      </c>
    </row>
    <row r="100">
      <c r="A100" s="2" t="n">
        <v>99</v>
      </c>
      <c r="B100" s="2" t="inlineStr">
        <is>
          <t>7ydmEh9fxiAy6NzbGmdWSaujAwsti51kEXULGtrszHCa</t>
        </is>
      </c>
      <c r="C100" s="2" t="inlineStr">
        <is>
          <t>fomo</t>
        </is>
      </c>
      <c r="D100" s="2" t="inlineStr">
        <is>
          <t>Cody Stoltzfus</t>
        </is>
      </c>
      <c r="E100" s="8" t="n">
        <v>1890.5</v>
      </c>
      <c r="F100" s="8" t="n">
        <v>0</v>
      </c>
      <c r="G100" s="8" t="n">
        <v>1890.5</v>
      </c>
      <c r="H100" s="2" t="n">
        <v>81.86</v>
      </c>
      <c r="I100" s="8" t="n">
        <v>2309.35</v>
      </c>
      <c r="J100" s="8" t="n">
        <v>4199.85</v>
      </c>
      <c r="K100" s="2" t="n">
        <v>8</v>
      </c>
      <c r="L100" s="2" t="n">
        <v>4</v>
      </c>
      <c r="M100" s="2" t="inlineStr">
        <is>
          <t>2026-09-17T19:24:11Z</t>
        </is>
      </c>
      <c r="N100" s="2" t="inlineStr">
        <is>
          <t>2026-09-17T23:16:41Z</t>
        </is>
      </c>
      <c r="O100" s="2" t="n">
        <v>2375388</v>
      </c>
      <c r="P100" s="2" t="n">
        <v>1.16415e-10</v>
      </c>
      <c r="Q100" s="8" t="n">
        <v>0</v>
      </c>
      <c r="R100" s="8" t="n">
        <v>1248.72</v>
      </c>
      <c r="S100" s="2" t="n">
        <v>145</v>
      </c>
      <c r="T100" s="2" t="n">
        <v>37</v>
      </c>
    </row>
    <row r="101">
      <c r="A101" s="2" t="n">
        <v>100</v>
      </c>
      <c r="B101" s="2" t="inlineStr">
        <is>
          <t>CvajrN8QcZ3WxvFMP6fHv5jCWeuFcpapHcqBVPearVAu</t>
        </is>
      </c>
      <c r="C101" s="2" t="inlineStr">
        <is>
          <t>terminal;axiom</t>
        </is>
      </c>
      <c r="E101" s="8" t="n">
        <v>1885.45</v>
      </c>
      <c r="F101" s="8" t="n">
        <v>0</v>
      </c>
      <c r="G101" s="8" t="n">
        <v>1885.45</v>
      </c>
      <c r="H101" s="2" t="n">
        <v>185.26</v>
      </c>
      <c r="I101" s="8" t="n">
        <v>1017.71</v>
      </c>
      <c r="J101" s="8" t="n">
        <v>2903.16</v>
      </c>
      <c r="K101" s="2" t="n">
        <v>2</v>
      </c>
      <c r="L101" s="2" t="n">
        <v>21</v>
      </c>
      <c r="M101" s="2" t="inlineStr">
        <is>
          <t>2026-09-17T19:21:20Z</t>
        </is>
      </c>
      <c r="N101" s="2" t="inlineStr">
        <is>
          <t>2026-09-17T19:30:48Z</t>
        </is>
      </c>
      <c r="O101" s="2" t="n">
        <v>2375559</v>
      </c>
      <c r="P101" s="2" t="n">
        <v>1.74623e-10</v>
      </c>
      <c r="Q101" s="8" t="n">
        <v>0</v>
      </c>
      <c r="R101" s="8" t="n">
        <v>39914.11</v>
      </c>
      <c r="S101" s="2" t="n">
        <v>3931</v>
      </c>
      <c r="T101" s="2" t="n">
        <v>653</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9U1f18idDeySFnYrurxqT1f5n5nE4g4Uk5LLzP69bh1</t>
        </is>
      </c>
    </row>
    <row r="9">
      <c r="A9" s="2" t="inlineStr">
        <is>
          <t>Snapshot (UTC)</t>
        </is>
      </c>
      <c r="B9" s="2" t="inlineStr">
        <is>
          <t>2026-10-15 07:14:27</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gagal</t>
        </is>
      </c>
      <c r="C16" s="2" t="n">
        <v>1</v>
      </c>
      <c r="D16" s="2" t="inlineStr">
        <is>
          <t>C:\Python314\python.exe "D:\V 1.1 - backup\V1.2\top-trader-suite\vybe\main.py" 9U1f18idDeySFnYrurxqT1f5n5nE4g4Uk5LLzP69bh1</t>
        </is>
      </c>
      <c r="E16" s="2" t="inlineStr">
        <is>
          <t>D:\V 1.1 - backup\V1.2\top-trader-suite\output\_raw\9U1f18id_20261015_071427\vybe</t>
        </is>
      </c>
      <c r="F16" s="2" t="inlineStr">
        <is>
          <t>2026-10-15 07:14:27</t>
        </is>
      </c>
      <c r="G16" s="2" t="inlineStr">
        <is>
          <t>2026-10-15 07:14:29</t>
        </is>
      </c>
      <c r="H16" s="7" t="n">
        <v>2.1</v>
      </c>
      <c r="I16" s="2" t="n"/>
      <c r="J16" s="2" t="inlineStr">
        <is>
          <t>Error: Vybe returned no traders for this token.</t>
        </is>
      </c>
    </row>
    <row r="17">
      <c r="A17" s="2" t="inlineStr">
        <is>
          <t>SolanaTracker</t>
        </is>
      </c>
      <c r="B17" s="2" t="inlineStr">
        <is>
          <t>ok</t>
        </is>
      </c>
      <c r="C17" s="2" t="n">
        <v>0</v>
      </c>
      <c r="D17" s="2" t="inlineStr">
        <is>
          <t>C:\Python314\python.exe "D:\V 1.1 - backup\V1.2\top-trader-suite\solanatracker\main.py" 9U1f18idDeySFnYrurxqT1f5n5nE4g4Uk5LLzP69bh1 --raw</t>
        </is>
      </c>
      <c r="E17" s="2" t="inlineStr">
        <is>
          <t>D:\V 1.1 - backup\V1.2\top-trader-suite\output\_raw\9U1f18id_20261015_071427\solanatracker</t>
        </is>
      </c>
      <c r="F17" s="2" t="inlineStr">
        <is>
          <t>2026-10-15 07:14:27</t>
        </is>
      </c>
      <c r="G17" s="2" t="inlineStr">
        <is>
          <t>2026-10-15 07:14:30</t>
        </is>
      </c>
      <c r="H17" s="7" t="n">
        <v>2.6</v>
      </c>
      <c r="I17" s="2" t="inlineStr">
        <is>
          <t>solanatracker_top_traders_9U1f18idDeySFnYrurxqT1f5n5nE4g4Uk5LLzP69bh1_20261015_071430.csv, solanatracker_top_traders_9U1f18idDeySFnYrurxqT1f5n5nE4g4Uk5LLzP69bh1_20261015_071430.raw.json</t>
        </is>
      </c>
      <c r="J17" s="2" t="n"/>
    </row>
    <row r="18">
      <c r="A18" s="2" t="inlineStr">
        <is>
          <t>GMGN</t>
        </is>
      </c>
      <c r="B18" s="2" t="inlineStr">
        <is>
          <t>gagal</t>
        </is>
      </c>
      <c r="C18" s="2" t="n">
        <v>1</v>
      </c>
      <c r="D18" s="2" t="inlineStr">
        <is>
          <t>C:\Python314\python.exe "D:\V 1.1 - backup\V1.2\top-trader-suite\gmgn\main.py" 9U1f18idDeySFnYrurxqT1f5n5nE4g4Uk5LLzP69bh1 --raw</t>
        </is>
      </c>
      <c r="E18" s="2" t="inlineStr">
        <is>
          <t>D:\V 1.1 - backup\V1.2\top-trader-suite\output\_raw\9U1f18id_20261015_071427\gmgn</t>
        </is>
      </c>
      <c r="F18" s="2" t="inlineStr">
        <is>
          <t>2026-10-15 07:14:27</t>
        </is>
      </c>
      <c r="G18" s="2" t="inlineStr">
        <is>
          <t>2026-10-15 07:14:29</t>
        </is>
      </c>
      <c r="H18" s="7" t="n">
        <v>2</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0" t="inlineStr">
        <is>
          <t>Vybe stderr</t>
        </is>
      </c>
      <c r="B21" s="11" t="inlineStr">
        <is>
          <t xml:space="preserve">Error: Vybe returned no traders for this token.
</t>
        </is>
      </c>
    </row>
    <row r="22">
      <c r="A22" s="10" t="inlineStr">
        <is>
          <t>SolanaTracker stdout</t>
        </is>
      </c>
      <c r="B22" s="11" t="inlineStr">
        <is>
          <t xml:space="preserve">Created output\solanatracker_top_traders_9U1f18idDeySFnYrurxqT1f5n5nE4g4Uk5LLzP69bh1_20261015_071430.csv (100 traders) - SOLCAT (Solana Cat)
</t>
        </is>
      </c>
    </row>
    <row r="23">
      <c r="A23" s="10" t="inlineStr">
        <is>
          <t>GMGN stderr</t>
        </is>
      </c>
      <c r="B23" s="11"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2026-10-15T07:14:30Z</dcterms:created>
  <dcterms:modified xsi:type="dcterms:W3CDTF">2026-10-15T07:14:30Z</dcterms:modified>
</cp:coreProperties>
</file>